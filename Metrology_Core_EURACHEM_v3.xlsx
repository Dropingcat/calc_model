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вод" sheetId="1" state="visible" r:id="rId1"/>
    <sheet xmlns:r="http://schemas.openxmlformats.org/officeDocument/2006/relationships" name="Регрессия" sheetId="2" state="visible" r:id="rId2"/>
    <sheet xmlns:r="http://schemas.openxmlformats.org/officeDocument/2006/relationships" name="Взвешенная регрессия" sheetId="3" state="visible" r:id="rId3"/>
    <sheet xmlns:r="http://schemas.openxmlformats.org/officeDocument/2006/relationships" name="Неопределенность" sheetId="4" state="visible" r:id="rId4"/>
    <sheet xmlns:r="http://schemas.openxmlformats.org/officeDocument/2006/relationships" name="Неопределенность по точкам" sheetId="5" state="visible" r:id="rId5"/>
    <sheet xmlns:r="http://schemas.openxmlformats.org/officeDocument/2006/relationships" name="Профиль U(x)" sheetId="6" state="visible" r:id="rId6"/>
    <sheet xmlns:r="http://schemas.openxmlformats.org/officeDocument/2006/relationships" name="Валидация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sz val="15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4F81BD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10" fontId="0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164" fontId="0" fillId="4" borderId="1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FEB9C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ПАРАМЕТРЫ ПРОБЫ И КАЛИБРОВОЧНЫЕ ДАННЫЕ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inlineStr">
        <is>
          <t>Средний отклик пробы (y_obs)</t>
        </is>
      </c>
      <c r="B3" s="3" t="n">
        <v>0.15</v>
      </c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inlineStr">
        <is>
          <t>Число повторностей пробы (p)</t>
        </is>
      </c>
      <c r="B4" s="3" t="n">
        <v>2</v>
      </c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inlineStr">
        <is>
          <t>Относительная стандартная неопределённость эталонов u(x_cal)/x</t>
        </is>
      </c>
      <c r="B5" s="4" t="n">
        <v>0.02</v>
      </c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inlineStr">
        <is>
          <t>Режим весов WLS (1=равные, 2=1/x, 3=1/x²)</t>
        </is>
      </c>
      <c r="B6" s="3" t="n">
        <v>3</v>
      </c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5" t="inlineStr">
        <is>
          <t>№</t>
        </is>
      </c>
      <c r="B8" s="5" t="inlineStr">
        <is>
          <t>Концентрация x</t>
        </is>
      </c>
      <c r="C8" s="5" t="inlineStr">
        <is>
          <t>Отклик 1 y</t>
        </is>
      </c>
      <c r="D8" s="5" t="inlineStr">
        <is>
          <t>Отклик 2 y</t>
        </is>
      </c>
      <c r="E8" s="5" t="inlineStr">
        <is>
          <t>Отклик 3 y</t>
        </is>
      </c>
      <c r="F8" s="5" t="inlineStr">
        <is>
          <t>Среднее y</t>
        </is>
      </c>
      <c r="G8" s="5" t="inlineStr">
        <is>
          <t>ŷ (ОМНК)</t>
        </is>
      </c>
      <c r="H8" s="5" t="inlineStr">
        <is>
          <t>Остаток e</t>
        </is>
      </c>
      <c r="I8" s="5" t="inlineStr">
        <is>
          <t>e²</t>
        </is>
      </c>
      <c r="J8" s="5" t="inlineStr">
        <is>
          <t>s(y_i) повт.</t>
        </is>
      </c>
    </row>
    <row r="9">
      <c r="A9" s="2" t="n">
        <v>1</v>
      </c>
      <c r="B9" s="3" t="n">
        <v>0</v>
      </c>
      <c r="C9" s="3" t="n">
        <v>0.002</v>
      </c>
      <c r="D9" s="3" t="n">
        <v>0.001</v>
      </c>
      <c r="E9" s="3" t="n">
        <v>0.003</v>
      </c>
      <c r="F9" s="6">
        <f>IF(B9="","",AVERAGE(C9:E9))</f>
        <v/>
      </c>
      <c r="G9" s="6">
        <f>IF(B9="","",'Регрессия'!$B$8*B9+'Регрессия'!$B$9)</f>
        <v/>
      </c>
      <c r="H9" s="6">
        <f>IF(F9="","",F9-G9)</f>
        <v/>
      </c>
      <c r="I9" s="6">
        <f>IF(H9="","",H9^2)</f>
        <v/>
      </c>
      <c r="J9" s="6">
        <f>IF(B9="","",IF(COUNT(C9:E9)&gt;=2,STDEV(C9:E9),NA()))</f>
        <v/>
      </c>
    </row>
    <row r="10">
      <c r="A10" s="2" t="n">
        <v>2</v>
      </c>
      <c r="B10" s="3" t="n">
        <v>0.2</v>
      </c>
      <c r="C10" s="3" t="n">
        <v>0.055</v>
      </c>
      <c r="D10" s="3" t="n">
        <v>0.058</v>
      </c>
      <c r="E10" s="3" t="n">
        <v>0.054</v>
      </c>
      <c r="F10" s="6">
        <f>IF(B10="","",AVERAGE(C10:E10))</f>
        <v/>
      </c>
      <c r="G10" s="6">
        <f>IF(B10="","",'Регрессия'!$B$8*B10+'Регрессия'!$B$9)</f>
        <v/>
      </c>
      <c r="H10" s="6">
        <f>IF(F10="","",F10-G10)</f>
        <v/>
      </c>
      <c r="I10" s="6">
        <f>IF(H10="","",H10^2)</f>
        <v/>
      </c>
      <c r="J10" s="6">
        <f>IF(B10="","",IF(COUNT(C10:E10)&gt;=2,STDEV(C10:E10),NA()))</f>
        <v/>
      </c>
    </row>
    <row r="11">
      <c r="A11" s="2" t="n">
        <v>3</v>
      </c>
      <c r="B11" s="3" t="n">
        <v>0.4</v>
      </c>
      <c r="C11" s="3" t="n">
        <v>0.11</v>
      </c>
      <c r="D11" s="3" t="n">
        <v>0.112</v>
      </c>
      <c r="E11" s="3" t="n">
        <v>0.108</v>
      </c>
      <c r="F11" s="6">
        <f>IF(B11="","",AVERAGE(C11:E11))</f>
        <v/>
      </c>
      <c r="G11" s="6">
        <f>IF(B11="","",'Регрессия'!$B$8*B11+'Регрессия'!$B$9)</f>
        <v/>
      </c>
      <c r="H11" s="6">
        <f>IF(F11="","",F11-G11)</f>
        <v/>
      </c>
      <c r="I11" s="6">
        <f>IF(H11="","",H11^2)</f>
        <v/>
      </c>
      <c r="J11" s="6">
        <f>IF(B11="","",IF(COUNT(C11:E11)&gt;=2,STDEV(C11:E11),NA()))</f>
        <v/>
      </c>
    </row>
    <row r="12">
      <c r="A12" s="2" t="n">
        <v>4</v>
      </c>
      <c r="B12" s="3" t="n">
        <v>0.6</v>
      </c>
      <c r="C12" s="3" t="n">
        <v>0.165</v>
      </c>
      <c r="D12" s="3" t="n">
        <v>0.162</v>
      </c>
      <c r="E12" s="3" t="n">
        <v>0.168</v>
      </c>
      <c r="F12" s="6">
        <f>IF(B12="","",AVERAGE(C12:E12))</f>
        <v/>
      </c>
      <c r="G12" s="6">
        <f>IF(B12="","",'Регрессия'!$B$8*B12+'Регрессия'!$B$9)</f>
        <v/>
      </c>
      <c r="H12" s="6">
        <f>IF(F12="","",F12-G12)</f>
        <v/>
      </c>
      <c r="I12" s="6">
        <f>IF(H12="","",H12^2)</f>
        <v/>
      </c>
      <c r="J12" s="6">
        <f>IF(B12="","",IF(COUNT(C12:E12)&gt;=2,STDEV(C12:E12),NA()))</f>
        <v/>
      </c>
    </row>
    <row r="13">
      <c r="A13" s="2" t="n">
        <v>5</v>
      </c>
      <c r="B13" s="3" t="n">
        <v>0.8</v>
      </c>
      <c r="C13" s="3" t="n">
        <v>0.22</v>
      </c>
      <c r="D13" s="3" t="n">
        <v>0.225</v>
      </c>
      <c r="E13" s="3" t="n">
        <v>0.218</v>
      </c>
      <c r="F13" s="6">
        <f>IF(B13="","",AVERAGE(C13:E13))</f>
        <v/>
      </c>
      <c r="G13" s="6">
        <f>IF(B13="","",'Регрессия'!$B$8*B13+'Регрессия'!$B$9)</f>
        <v/>
      </c>
      <c r="H13" s="6">
        <f>IF(F13="","",F13-G13)</f>
        <v/>
      </c>
      <c r="I13" s="6">
        <f>IF(H13="","",H13^2)</f>
        <v/>
      </c>
      <c r="J13" s="6">
        <f>IF(B13="","",IF(COUNT(C13:E13)&gt;=2,STDEV(C13:E13),NA()))</f>
        <v/>
      </c>
    </row>
    <row r="14">
      <c r="A14" s="2" t="n">
        <v>6</v>
      </c>
      <c r="B14" s="3" t="n">
        <v>1</v>
      </c>
      <c r="C14" s="3" t="n">
        <v>0.275</v>
      </c>
      <c r="D14" s="3" t="n">
        <v>0.272</v>
      </c>
      <c r="E14" s="3" t="n">
        <v>0.278</v>
      </c>
      <c r="F14" s="6">
        <f>IF(B14="","",AVERAGE(C14:E14))</f>
        <v/>
      </c>
      <c r="G14" s="6">
        <f>IF(B14="","",'Регрессия'!$B$8*B14+'Регрессия'!$B$9)</f>
        <v/>
      </c>
      <c r="H14" s="6">
        <f>IF(F14="","",F14-G14)</f>
        <v/>
      </c>
      <c r="I14" s="6">
        <f>IF(H14="","",H14^2)</f>
        <v/>
      </c>
      <c r="J14" s="6">
        <f>IF(B14="","",IF(COUNT(C14:E14)&gt;=2,STDEV(C14:E14),NA()))</f>
        <v/>
      </c>
    </row>
    <row r="15">
      <c r="A15" s="2" t="n"/>
      <c r="B15" s="2" t="n"/>
      <c r="C15" s="2" t="n"/>
      <c r="D15" s="2" t="n"/>
      <c r="E15" s="2" t="n"/>
      <c r="F15" s="6">
        <f>IF(B15="","",AVERAGE(C15:E15))</f>
        <v/>
      </c>
      <c r="G15" s="6">
        <f>IF(B15="","",'Регрессия'!$B$8*B15+'Регрессия'!$B$9)</f>
        <v/>
      </c>
      <c r="H15" s="6">
        <f>IF(F15="","",F15-G15)</f>
        <v/>
      </c>
      <c r="I15" s="6">
        <f>IF(H15="","",H15^2)</f>
        <v/>
      </c>
      <c r="J15" s="2" t="n"/>
    </row>
    <row r="16">
      <c r="A16" s="2" t="n"/>
      <c r="B16" s="2" t="n"/>
      <c r="C16" s="2" t="n"/>
      <c r="D16" s="2" t="n"/>
      <c r="E16" s="2" t="n"/>
      <c r="F16" s="6">
        <f>IF(B16="","",AVERAGE(C16:E16))</f>
        <v/>
      </c>
      <c r="G16" s="6">
        <f>IF(B16="","",'Регрессия'!$B$8*B16+'Регрессия'!$B$9)</f>
        <v/>
      </c>
      <c r="H16" s="6">
        <f>IF(F16="","",F16-G16)</f>
        <v/>
      </c>
      <c r="I16" s="6">
        <f>IF(H16="","",H16^2)</f>
        <v/>
      </c>
      <c r="J16" s="2" t="n"/>
    </row>
    <row r="17">
      <c r="A17" s="2" t="n"/>
      <c r="B17" s="2" t="n"/>
      <c r="C17" s="2" t="n"/>
      <c r="D17" s="2" t="n"/>
      <c r="E17" s="2" t="n"/>
      <c r="F17" s="6">
        <f>IF(B17="","",AVERAGE(C17:E17))</f>
        <v/>
      </c>
      <c r="G17" s="6">
        <f>IF(B17="","",'Регрессия'!$B$8*B17+'Регрессия'!$B$9)</f>
        <v/>
      </c>
      <c r="H17" s="6">
        <f>IF(F17="","",F17-G17)</f>
        <v/>
      </c>
      <c r="I17" s="6">
        <f>IF(H17="","",H17^2)</f>
        <v/>
      </c>
      <c r="J17" s="2" t="n"/>
    </row>
    <row r="18">
      <c r="A18" s="2" t="n"/>
      <c r="B18" s="2" t="n"/>
      <c r="C18" s="2" t="n"/>
      <c r="D18" s="2" t="n"/>
      <c r="E18" s="2" t="n"/>
      <c r="F18" s="6">
        <f>IF(B18="","",AVERAGE(C18:E18))</f>
        <v/>
      </c>
      <c r="G18" s="6">
        <f>IF(B18="","",'Регрессия'!$B$8*B18+'Регрессия'!$B$9)</f>
        <v/>
      </c>
      <c r="H18" s="6">
        <f>IF(F18="","",F18-G18)</f>
        <v/>
      </c>
      <c r="I18" s="6">
        <f>IF(H18="","",H18^2)</f>
        <v/>
      </c>
      <c r="J18" s="2" t="n"/>
    </row>
    <row r="19">
      <c r="A19" s="2" t="n"/>
      <c r="B19" s="2" t="n"/>
      <c r="C19" s="2" t="n"/>
      <c r="D19" s="2" t="n"/>
      <c r="E19" s="2" t="n"/>
      <c r="F19" s="6">
        <f>IF(B19="","",AVERAGE(C19:E19))</f>
        <v/>
      </c>
      <c r="G19" s="6">
        <f>IF(B19="","",'Регрессия'!$B$8*B19+'Регрессия'!$B$9)</f>
        <v/>
      </c>
      <c r="H19" s="6">
        <f>IF(F19="","",F19-G19)</f>
        <v/>
      </c>
      <c r="I19" s="6">
        <f>IF(H19="","",H19^2)</f>
        <v/>
      </c>
      <c r="J19" s="2" t="n"/>
    </row>
    <row r="20">
      <c r="A20" s="2" t="n"/>
      <c r="B20" s="2" t="n"/>
      <c r="C20" s="2" t="n"/>
      <c r="D20" s="2" t="n"/>
      <c r="E20" s="2" t="n"/>
      <c r="F20" s="6">
        <f>IF(B20="","",AVERAGE(C20:E20))</f>
        <v/>
      </c>
      <c r="G20" s="6">
        <f>IF(B20="","",'Регрессия'!$B$8*B20+'Регрессия'!$B$9)</f>
        <v/>
      </c>
      <c r="H20" s="6">
        <f>IF(F20="","",F20-G20)</f>
        <v/>
      </c>
      <c r="I20" s="6">
        <f>IF(H20="","",H20^2)</f>
        <v/>
      </c>
      <c r="J20" s="2" t="n"/>
    </row>
    <row r="21">
      <c r="A21" s="2" t="n"/>
      <c r="B21" s="2" t="n"/>
      <c r="C21" s="2" t="n"/>
      <c r="D21" s="2" t="n"/>
      <c r="E21" s="2" t="n"/>
      <c r="F21" s="6">
        <f>IF(B21="","",AVERAGE(C21:E21))</f>
        <v/>
      </c>
      <c r="G21" s="6">
        <f>IF(B21="","",'Регрессия'!$B$8*B21+'Регрессия'!$B$9)</f>
        <v/>
      </c>
      <c r="H21" s="6">
        <f>IF(F21="","",F21-G21)</f>
        <v/>
      </c>
      <c r="I21" s="6">
        <f>IF(H21="","",H21^2)</f>
        <v/>
      </c>
      <c r="J21" s="2" t="n"/>
    </row>
    <row r="22">
      <c r="A22" s="2" t="n"/>
      <c r="B22" s="2" t="n"/>
      <c r="C22" s="2" t="n"/>
      <c r="D22" s="2" t="n"/>
      <c r="E22" s="2" t="n"/>
      <c r="F22" s="6">
        <f>IF(B22="","",AVERAGE(C22:E22))</f>
        <v/>
      </c>
      <c r="G22" s="6">
        <f>IF(B22="","",'Регрессия'!$B$8*B22+'Регрессия'!$B$9)</f>
        <v/>
      </c>
      <c r="H22" s="6">
        <f>IF(F22="","",F22-G22)</f>
        <v/>
      </c>
      <c r="I22" s="6">
        <f>IF(H22="","",H22^2)</f>
        <v/>
      </c>
      <c r="J22" s="2" t="n"/>
    </row>
    <row r="23">
      <c r="A23" s="2" t="n"/>
      <c r="B23" s="2" t="n"/>
      <c r="C23" s="2" t="n"/>
      <c r="D23" s="2" t="n"/>
      <c r="E23" s="2" t="n"/>
      <c r="F23" s="6">
        <f>IF(B23="","",AVERAGE(C23:E23))</f>
        <v/>
      </c>
      <c r="G23" s="6">
        <f>IF(B23="","",'Регрессия'!$B$8*B23+'Регрессия'!$B$9)</f>
        <v/>
      </c>
      <c r="H23" s="6">
        <f>IF(F23="","",F23-G23)</f>
        <v/>
      </c>
      <c r="I23" s="6">
        <f>IF(H23="","",H23^2)</f>
        <v/>
      </c>
      <c r="J23" s="2" t="n"/>
    </row>
    <row r="24">
      <c r="A24" s="2" t="n"/>
      <c r="B24" s="2" t="n"/>
      <c r="C24" s="2" t="n"/>
      <c r="D24" s="2" t="n"/>
      <c r="E24" s="2" t="n"/>
      <c r="F24" s="6">
        <f>IF(B24="","",AVERAGE(C24:E24))</f>
        <v/>
      </c>
      <c r="G24" s="6">
        <f>IF(B24="","",'Регрессия'!$B$8*B24+'Регрессия'!$B$9)</f>
        <v/>
      </c>
      <c r="H24" s="6">
        <f>IF(F24="","",F24-G24)</f>
        <v/>
      </c>
      <c r="I24" s="6">
        <f>IF(H24="","",H24^2)</f>
        <v/>
      </c>
      <c r="J24" s="2" t="n"/>
    </row>
    <row r="25">
      <c r="A25" s="2" t="n"/>
      <c r="B25" s="2" t="n"/>
      <c r="C25" s="2" t="n"/>
      <c r="D25" s="2" t="n"/>
      <c r="E25" s="2" t="n"/>
      <c r="F25" s="6">
        <f>IF(B25="","",AVERAGE(C25:E25))</f>
        <v/>
      </c>
      <c r="G25" s="6">
        <f>IF(B25="","",'Регрессия'!$B$8*B25+'Регрессия'!$B$9)</f>
        <v/>
      </c>
      <c r="H25" s="6">
        <f>IF(F25="","",F25-G25)</f>
        <v/>
      </c>
      <c r="I25" s="6">
        <f>IF(H25="","",H25^2)</f>
        <v/>
      </c>
      <c r="J25" s="2" t="n"/>
    </row>
    <row r="26">
      <c r="A26" s="2" t="n"/>
      <c r="B26" s="2" t="n"/>
      <c r="C26" s="2" t="n"/>
      <c r="D26" s="2" t="n"/>
      <c r="E26" s="2" t="n"/>
      <c r="F26" s="6">
        <f>IF(B26="","",AVERAGE(C26:E26))</f>
        <v/>
      </c>
      <c r="G26" s="6">
        <f>IF(B26="","",'Регрессия'!$B$8*B26+'Регрессия'!$B$9)</f>
        <v/>
      </c>
      <c r="H26" s="6">
        <f>IF(F26="","",F26-G26)</f>
        <v/>
      </c>
      <c r="I26" s="6">
        <f>IF(H26="","",H26^2)</f>
        <v/>
      </c>
      <c r="J26" s="2" t="n"/>
    </row>
    <row r="27">
      <c r="A27" s="2" t="n"/>
      <c r="B27" s="2" t="n"/>
      <c r="C27" s="2" t="n"/>
      <c r="D27" s="2" t="n"/>
      <c r="E27" s="2" t="n"/>
      <c r="F27" s="6">
        <f>IF(B27="","",AVERAGE(C27:E27))</f>
        <v/>
      </c>
      <c r="G27" s="6">
        <f>IF(B27="","",'Регрессия'!$B$8*B27+'Регрессия'!$B$9)</f>
        <v/>
      </c>
      <c r="H27" s="6">
        <f>IF(F27="","",F27-G27)</f>
        <v/>
      </c>
      <c r="I27" s="6">
        <f>IF(H27="","",H27^2)</f>
        <v/>
      </c>
      <c r="J27" s="2" t="n"/>
    </row>
    <row r="28">
      <c r="A28" s="2" t="n"/>
      <c r="B28" s="2" t="n"/>
      <c r="C28" s="2" t="n"/>
      <c r="D28" s="2" t="n"/>
      <c r="E28" s="2" t="n"/>
      <c r="F28" s="6">
        <f>IF(B28="","",AVERAGE(C28:E28))</f>
        <v/>
      </c>
      <c r="G28" s="6">
        <f>IF(B28="","",'Регрессия'!$B$8*B28+'Регрессия'!$B$9)</f>
        <v/>
      </c>
      <c r="H28" s="6">
        <f>IF(F28="","",F28-G28)</f>
        <v/>
      </c>
      <c r="I28" s="6">
        <f>IF(H28="","",H28^2)</f>
        <v/>
      </c>
      <c r="J28" s="2" t="n"/>
    </row>
    <row r="29">
      <c r="A29" s="2" t="n"/>
      <c r="B29" s="2" t="n"/>
      <c r="C29" s="2" t="n"/>
      <c r="D29" s="2" t="n"/>
      <c r="E29" s="2" t="n"/>
      <c r="F29" s="6">
        <f>IF(B29="","",AVERAGE(C29:E29))</f>
        <v/>
      </c>
      <c r="G29" s="6">
        <f>IF(B29="","",'Регрессия'!$B$8*B29+'Регрессия'!$B$9)</f>
        <v/>
      </c>
      <c r="H29" s="6">
        <f>IF(F29="","",F29-G29)</f>
        <v/>
      </c>
      <c r="I29" s="6">
        <f>IF(H29="","",H29^2)</f>
        <v/>
      </c>
      <c r="J29" s="2" t="n"/>
    </row>
    <row r="30">
      <c r="A30" s="2" t="n"/>
      <c r="B30" s="2" t="n"/>
      <c r="C30" s="2" t="n"/>
      <c r="D30" s="2" t="n"/>
      <c r="E30" s="2" t="n"/>
      <c r="F30" s="6">
        <f>IF(B30="","",AVERAGE(C30:E30))</f>
        <v/>
      </c>
      <c r="G30" s="6">
        <f>IF(B30="","",'Регрессия'!$B$8*B30+'Регрессия'!$B$9)</f>
        <v/>
      </c>
      <c r="H30" s="6">
        <f>IF(F30="","",F30-G30)</f>
        <v/>
      </c>
      <c r="I30" s="6">
        <f>IF(H30="","",H30^2)</f>
        <v/>
      </c>
      <c r="J30" s="2" t="n"/>
    </row>
    <row r="31">
      <c r="A31" s="2" t="n"/>
      <c r="B31" s="2" t="n"/>
      <c r="C31" s="2" t="n"/>
      <c r="D31" s="2" t="n"/>
      <c r="E31" s="2" t="n"/>
      <c r="F31" s="6">
        <f>IF(B31="","",AVERAGE(C31:E31))</f>
        <v/>
      </c>
      <c r="G31" s="6">
        <f>IF(B31="","",'Регрессия'!$B$8*B31+'Регрессия'!$B$9)</f>
        <v/>
      </c>
      <c r="H31" s="6">
        <f>IF(F31="","",F31-G31)</f>
        <v/>
      </c>
      <c r="I31" s="6">
        <f>IF(H31="","",H31^2)</f>
        <v/>
      </c>
      <c r="J31" s="2" t="n"/>
    </row>
    <row r="32">
      <c r="A32" s="2" t="n"/>
      <c r="B32" s="2" t="n"/>
      <c r="C32" s="2" t="n"/>
      <c r="D32" s="2" t="n"/>
      <c r="E32" s="2" t="n"/>
      <c r="F32" s="6">
        <f>IF(B32="","",AVERAGE(C32:E32))</f>
        <v/>
      </c>
      <c r="G32" s="6">
        <f>IF(B32="","",'Регрессия'!$B$8*B32+'Регрессия'!$B$9)</f>
        <v/>
      </c>
      <c r="H32" s="6">
        <f>IF(F32="","",F32-G32)</f>
        <v/>
      </c>
      <c r="I32" s="6">
        <f>IF(H32="","",H32^2)</f>
        <v/>
      </c>
      <c r="J32" s="2" t="n"/>
    </row>
    <row r="33">
      <c r="A33" s="2" t="n"/>
      <c r="B33" s="2" t="n"/>
      <c r="C33" s="2" t="n"/>
      <c r="D33" s="2" t="n"/>
      <c r="E33" s="2" t="n"/>
      <c r="F33" s="6">
        <f>IF(B33="","",AVERAGE(C33:E33))</f>
        <v/>
      </c>
      <c r="G33" s="6">
        <f>IF(B33="","",'Регрессия'!$B$8*B33+'Регрессия'!$B$9)</f>
        <v/>
      </c>
      <c r="H33" s="6">
        <f>IF(F33="","",F33-G33)</f>
        <v/>
      </c>
      <c r="I33" s="6">
        <f>IF(H33="","",H33^2)</f>
        <v/>
      </c>
      <c r="J33" s="2" t="n"/>
    </row>
    <row r="34">
      <c r="A34" s="2" t="n"/>
      <c r="B34" s="2" t="n"/>
      <c r="C34" s="2" t="n"/>
      <c r="D34" s="2" t="n"/>
      <c r="E34" s="2" t="n"/>
      <c r="F34" s="6">
        <f>IF(B34="","",AVERAGE(C34:E34))</f>
        <v/>
      </c>
      <c r="G34" s="6">
        <f>IF(B34="","",'Регрессия'!$B$8*B34+'Регрессия'!$B$9)</f>
        <v/>
      </c>
      <c r="H34" s="6">
        <f>IF(F34="","",F34-G34)</f>
        <v/>
      </c>
      <c r="I34" s="6">
        <f>IF(H34="","",H34^2)</f>
        <v/>
      </c>
      <c r="J34" s="2" t="n"/>
    </row>
    <row r="35">
      <c r="A35" s="2" t="n"/>
      <c r="B35" s="2" t="n"/>
      <c r="C35" s="2" t="n"/>
      <c r="D35" s="2" t="n"/>
      <c r="E35" s="2" t="n"/>
      <c r="F35" s="6">
        <f>IF(B35="","",AVERAGE(C35:E35))</f>
        <v/>
      </c>
      <c r="G35" s="6">
        <f>IF(B35="","",'Регрессия'!$B$8*B35+'Регрессия'!$B$9)</f>
        <v/>
      </c>
      <c r="H35" s="6">
        <f>IF(F35="","",F35-G35)</f>
        <v/>
      </c>
      <c r="I35" s="6">
        <f>IF(H35="","",H35^2)</f>
        <v/>
      </c>
      <c r="J35" s="2" t="n"/>
    </row>
    <row r="36">
      <c r="A36" s="2" t="n"/>
      <c r="B36" s="2" t="n"/>
      <c r="C36" s="2" t="n"/>
      <c r="D36" s="2" t="n"/>
      <c r="E36" s="2" t="n"/>
      <c r="F36" s="6">
        <f>IF(B36="","",AVERAGE(C36:E36))</f>
        <v/>
      </c>
      <c r="G36" s="6">
        <f>IF(B36="","",'Регрессия'!$B$8*B36+'Регрессия'!$B$9)</f>
        <v/>
      </c>
      <c r="H36" s="6">
        <f>IF(F36="","",F36-G36)</f>
        <v/>
      </c>
      <c r="I36" s="6">
        <f>IF(H36="","",H36^2)</f>
        <v/>
      </c>
      <c r="J36" s="2" t="n"/>
    </row>
    <row r="37">
      <c r="A37" s="2" t="n"/>
      <c r="B37" s="2" t="n"/>
      <c r="C37" s="2" t="n"/>
      <c r="D37" s="2" t="n"/>
      <c r="E37" s="2" t="n"/>
      <c r="F37" s="6">
        <f>IF(B37="","",AVERAGE(C37:E37))</f>
        <v/>
      </c>
      <c r="G37" s="6">
        <f>IF(B37="","",'Регрессия'!$B$8*B37+'Регрессия'!$B$9)</f>
        <v/>
      </c>
      <c r="H37" s="6">
        <f>IF(F37="","",F37-G37)</f>
        <v/>
      </c>
      <c r="I37" s="6">
        <f>IF(H37="","",H37^2)</f>
        <v/>
      </c>
      <c r="J37" s="2" t="n"/>
    </row>
    <row r="38">
      <c r="A38" s="2" t="n"/>
      <c r="B38" s="2" t="n"/>
      <c r="C38" s="2" t="n"/>
      <c r="D38" s="2" t="n"/>
      <c r="E38" s="2" t="n"/>
      <c r="F38" s="6">
        <f>IF(B38="","",AVERAGE(C38:E38))</f>
        <v/>
      </c>
      <c r="G38" s="6">
        <f>IF(B38="","",'Регрессия'!$B$8*B38+'Регрессия'!$B$9)</f>
        <v/>
      </c>
      <c r="H38" s="6">
        <f>IF(F38="","",F38-G38)</f>
        <v/>
      </c>
      <c r="I38" s="6">
        <f>IF(H38="","",H38^2)</f>
        <v/>
      </c>
      <c r="J38" s="2" t="n"/>
    </row>
    <row r="39">
      <c r="A39" s="2" t="n"/>
      <c r="B39" s="2" t="n"/>
      <c r="C39" s="2" t="n"/>
      <c r="D39" s="2" t="n"/>
      <c r="E39" s="2" t="n"/>
      <c r="F39" s="6">
        <f>IF(B39="","",AVERAGE(C39:E39))</f>
        <v/>
      </c>
      <c r="G39" s="6">
        <f>IF(B39="","",'Регрессия'!$B$8*B39+'Регрессия'!$B$9)</f>
        <v/>
      </c>
      <c r="H39" s="6">
        <f>IF(F39="","",F39-G39)</f>
        <v/>
      </c>
      <c r="I39" s="6">
        <f>IF(H39="","",H39^2)</f>
        <v/>
      </c>
      <c r="J39" s="2" t="n"/>
    </row>
    <row r="40">
      <c r="A40" s="2" t="n"/>
      <c r="B40" s="2" t="n"/>
      <c r="C40" s="2" t="n"/>
      <c r="D40" s="2" t="n"/>
      <c r="E40" s="2" t="n"/>
      <c r="F40" s="6">
        <f>IF(B40="","",AVERAGE(C40:E40))</f>
        <v/>
      </c>
      <c r="G40" s="6">
        <f>IF(B40="","",'Регрессия'!$B$8*B40+'Регрессия'!$B$9)</f>
        <v/>
      </c>
      <c r="H40" s="6">
        <f>IF(F40="","",F40-G40)</f>
        <v/>
      </c>
      <c r="I40" s="6">
        <f>IF(H40="","",H40^2)</f>
        <v/>
      </c>
      <c r="J40" s="2" t="n"/>
    </row>
    <row r="41">
      <c r="A41" s="2" t="n"/>
      <c r="B41" s="2" t="n"/>
      <c r="C41" s="2" t="n"/>
      <c r="D41" s="2" t="n"/>
      <c r="E41" s="2" t="n"/>
      <c r="F41" s="6">
        <f>IF(B41="","",AVERAGE(C41:E41))</f>
        <v/>
      </c>
      <c r="G41" s="6">
        <f>IF(B41="","",'Регрессия'!$B$8*B41+'Регрессия'!$B$9)</f>
        <v/>
      </c>
      <c r="H41" s="6">
        <f>IF(F41="","",F41-G41)</f>
        <v/>
      </c>
      <c r="I41" s="6">
        <f>IF(H41="","",H41^2)</f>
        <v/>
      </c>
      <c r="J41" s="2" t="n"/>
    </row>
    <row r="42">
      <c r="A42" s="2" t="n"/>
      <c r="B42" s="2" t="n"/>
      <c r="C42" s="2" t="n"/>
      <c r="D42" s="2" t="n"/>
      <c r="E42" s="2" t="n"/>
      <c r="F42" s="6">
        <f>IF(B42="","",AVERAGE(C42:E42))</f>
        <v/>
      </c>
      <c r="G42" s="6">
        <f>IF(B42="","",'Регрессия'!$B$8*B42+'Регрессия'!$B$9)</f>
        <v/>
      </c>
      <c r="H42" s="6">
        <f>IF(F42="","",F42-G42)</f>
        <v/>
      </c>
      <c r="I42" s="6">
        <f>IF(H42="","",H42^2)</f>
        <v/>
      </c>
      <c r="J42" s="2" t="n"/>
    </row>
    <row r="43">
      <c r="A43" s="2" t="n"/>
      <c r="B43" s="2" t="n"/>
      <c r="C43" s="2" t="n"/>
      <c r="D43" s="2" t="n"/>
      <c r="E43" s="2" t="n"/>
      <c r="F43" s="6">
        <f>IF(B43="","",AVERAGE(C43:E43))</f>
        <v/>
      </c>
      <c r="G43" s="6">
        <f>IF(B43="","",'Регрессия'!$B$8*B43+'Регрессия'!$B$9)</f>
        <v/>
      </c>
      <c r="H43" s="6">
        <f>IF(F43="","",F43-G43)</f>
        <v/>
      </c>
      <c r="I43" s="6">
        <f>IF(H43="","",H43^2)</f>
        <v/>
      </c>
      <c r="J43" s="2" t="n"/>
    </row>
    <row r="44">
      <c r="A44" s="2" t="n"/>
      <c r="B44" s="2" t="n"/>
      <c r="C44" s="2" t="n"/>
      <c r="D44" s="2" t="n"/>
      <c r="E44" s="2" t="n"/>
      <c r="F44" s="6">
        <f>IF(B44="","",AVERAGE(C44:E44))</f>
        <v/>
      </c>
      <c r="G44" s="6">
        <f>IF(B44="","",'Регрессия'!$B$8*B44+'Регрессия'!$B$9)</f>
        <v/>
      </c>
      <c r="H44" s="6">
        <f>IF(F44="","",F44-G44)</f>
        <v/>
      </c>
      <c r="I44" s="6">
        <f>IF(H44="","",H44^2)</f>
        <v/>
      </c>
      <c r="J44" s="2" t="n"/>
    </row>
    <row r="45">
      <c r="A45" s="2" t="n"/>
      <c r="B45" s="2" t="n"/>
      <c r="C45" s="2" t="n"/>
      <c r="D45" s="2" t="n"/>
      <c r="E45" s="2" t="n"/>
      <c r="F45" s="6">
        <f>IF(B45="","",AVERAGE(C45:E45))</f>
        <v/>
      </c>
      <c r="G45" s="6">
        <f>IF(B45="","",'Регрессия'!$B$8*B45+'Регрессия'!$B$9)</f>
        <v/>
      </c>
      <c r="H45" s="6">
        <f>IF(F45="","",F45-G45)</f>
        <v/>
      </c>
      <c r="I45" s="6">
        <f>IF(H45="","",H45^2)</f>
        <v/>
      </c>
      <c r="J45" s="2" t="n"/>
    </row>
    <row r="46">
      <c r="A46" s="2" t="n"/>
      <c r="B46" s="2" t="n"/>
      <c r="C46" s="2" t="n"/>
      <c r="D46" s="2" t="n"/>
      <c r="E46" s="2" t="n"/>
      <c r="F46" s="6">
        <f>IF(B46="","",AVERAGE(C46:E46))</f>
        <v/>
      </c>
      <c r="G46" s="6">
        <f>IF(B46="","",'Регрессия'!$B$8*B46+'Регрессия'!$B$9)</f>
        <v/>
      </c>
      <c r="H46" s="6">
        <f>IF(F46="","",F46-G46)</f>
        <v/>
      </c>
      <c r="I46" s="6">
        <f>IF(H46="","",H46^2)</f>
        <v/>
      </c>
      <c r="J46" s="2" t="n"/>
    </row>
    <row r="47">
      <c r="A47" s="2" t="n"/>
      <c r="B47" s="2" t="n"/>
      <c r="C47" s="2" t="n"/>
      <c r="D47" s="2" t="n"/>
      <c r="E47" s="2" t="n"/>
      <c r="F47" s="6">
        <f>IF(B47="","",AVERAGE(C47:E47))</f>
        <v/>
      </c>
      <c r="G47" s="6">
        <f>IF(B47="","",'Регрессия'!$B$8*B47+'Регрессия'!$B$9)</f>
        <v/>
      </c>
      <c r="H47" s="6">
        <f>IF(F47="","",F47-G47)</f>
        <v/>
      </c>
      <c r="I47" s="6">
        <f>IF(H47="","",H47^2)</f>
        <v/>
      </c>
      <c r="J47" s="2" t="n"/>
    </row>
    <row r="48">
      <c r="A48" s="2" t="n"/>
      <c r="B48" s="2" t="n"/>
      <c r="C48" s="2" t="n"/>
      <c r="D48" s="2" t="n"/>
      <c r="E48" s="2" t="n"/>
      <c r="F48" s="6">
        <f>IF(B48="","",AVERAGE(C48:E48))</f>
        <v/>
      </c>
      <c r="G48" s="6">
        <f>IF(B48="","",'Регрессия'!$B$8*B48+'Регрессия'!$B$9)</f>
        <v/>
      </c>
      <c r="H48" s="6">
        <f>IF(F48="","",F48-G48)</f>
        <v/>
      </c>
      <c r="I48" s="6">
        <f>IF(H48="","",H48^2)</f>
        <v/>
      </c>
      <c r="J48" s="2" t="n"/>
    </row>
    <row r="49">
      <c r="A49" s="2" t="n"/>
      <c r="B49" s="2" t="n"/>
      <c r="C49" s="2" t="n"/>
      <c r="D49" s="2" t="n"/>
      <c r="E49" s="2" t="n"/>
      <c r="F49" s="6">
        <f>IF(B49="","",AVERAGE(C49:E49))</f>
        <v/>
      </c>
      <c r="G49" s="6">
        <f>IF(B49="","",'Регрессия'!$B$8*B49+'Регрессия'!$B$9)</f>
        <v/>
      </c>
      <c r="H49" s="6">
        <f>IF(F49="","",F49-G49)</f>
        <v/>
      </c>
      <c r="I49" s="6">
        <f>IF(H49="","",H49^2)</f>
        <v/>
      </c>
      <c r="J49" s="2" t="n"/>
    </row>
    <row r="50">
      <c r="A50" s="2" t="n"/>
      <c r="B50" s="2" t="n"/>
      <c r="C50" s="2" t="n"/>
      <c r="D50" s="2" t="n"/>
      <c r="E50" s="2" t="n"/>
      <c r="F50" s="6">
        <f>IF(B50="","",AVERAGE(C50:E50))</f>
        <v/>
      </c>
      <c r="G50" s="6">
        <f>IF(B50="","",'Регрессия'!$B$8*B50+'Регрессия'!$B$9)</f>
        <v/>
      </c>
      <c r="H50" s="6">
        <f>IF(F50="","",F50-G50)</f>
        <v/>
      </c>
      <c r="I50" s="6">
        <f>IF(H50="","",H50^2)</f>
        <v/>
      </c>
      <c r="J50" s="2" t="n"/>
    </row>
    <row r="51">
      <c r="A51" s="2" t="n"/>
      <c r="B51" s="2" t="n"/>
      <c r="C51" s="2" t="n"/>
      <c r="D51" s="2" t="n"/>
      <c r="E51" s="2" t="n"/>
      <c r="F51" s="6">
        <f>IF(B51="","",AVERAGE(C51:E51))</f>
        <v/>
      </c>
      <c r="G51" s="6">
        <f>IF(B51="","",'Регрессия'!$B$8*B51+'Регрессия'!$B$9)</f>
        <v/>
      </c>
      <c r="H51" s="6">
        <f>IF(F51="","",F51-G51)</f>
        <v/>
      </c>
      <c r="I51" s="6">
        <f>IF(H51="","",H51^2)</f>
        <v/>
      </c>
      <c r="J51" s="2" t="n"/>
    </row>
    <row r="52">
      <c r="A52" s="2" t="n"/>
      <c r="B52" s="2" t="n"/>
      <c r="C52" s="2" t="n"/>
      <c r="D52" s="2" t="n"/>
      <c r="E52" s="2" t="n"/>
      <c r="F52" s="6">
        <f>IF(B52="","",AVERAGE(C52:E52))</f>
        <v/>
      </c>
      <c r="G52" s="6">
        <f>IF(B52="","",'Регрессия'!$B$8*B52+'Регрессия'!$B$9)</f>
        <v/>
      </c>
      <c r="H52" s="6">
        <f>IF(F52="","",F52-G52)</f>
        <v/>
      </c>
      <c r="I52" s="6">
        <f>IF(H52="","",H52^2)</f>
        <v/>
      </c>
      <c r="J52" s="2" t="n"/>
    </row>
    <row r="53">
      <c r="A53" s="2" t="n"/>
      <c r="B53" s="2" t="n"/>
      <c r="C53" s="2" t="n"/>
      <c r="D53" s="2" t="n"/>
      <c r="E53" s="2" t="n"/>
      <c r="F53" s="6">
        <f>IF(B53="","",AVERAGE(C53:E53))</f>
        <v/>
      </c>
      <c r="G53" s="6">
        <f>IF(B53="","",'Регрессия'!$B$8*B53+'Регрессия'!$B$9)</f>
        <v/>
      </c>
      <c r="H53" s="6">
        <f>IF(F53="","",F53-G53)</f>
        <v/>
      </c>
      <c r="I53" s="6">
        <f>IF(H53="","",H53^2)</f>
        <v/>
      </c>
      <c r="J53" s="2" t="n"/>
    </row>
    <row r="54">
      <c r="A54" s="2" t="n"/>
      <c r="B54" s="2" t="n"/>
      <c r="C54" s="2" t="n"/>
      <c r="D54" s="2" t="n"/>
      <c r="E54" s="2" t="n"/>
      <c r="F54" s="6">
        <f>IF(B54="","",AVERAGE(C54:E54))</f>
        <v/>
      </c>
      <c r="G54" s="6">
        <f>IF(B54="","",'Регрессия'!$B$8*B54+'Регрессия'!$B$9)</f>
        <v/>
      </c>
      <c r="H54" s="6">
        <f>IF(F54="","",F54-G54)</f>
        <v/>
      </c>
      <c r="I54" s="6">
        <f>IF(H54="","",H54^2)</f>
        <v/>
      </c>
      <c r="J54" s="2" t="n"/>
    </row>
    <row r="55">
      <c r="A55" s="2" t="n"/>
      <c r="B55" s="2" t="n"/>
      <c r="C55" s="2" t="n"/>
      <c r="D55" s="2" t="n"/>
      <c r="E55" s="2" t="n"/>
      <c r="F55" s="6">
        <f>IF(B55="","",AVERAGE(C55:E55))</f>
        <v/>
      </c>
      <c r="G55" s="6">
        <f>IF(B55="","",'Регрессия'!$B$8*B55+'Регрессия'!$B$9)</f>
        <v/>
      </c>
      <c r="H55" s="6">
        <f>IF(F55="","",F55-G55)</f>
        <v/>
      </c>
      <c r="I55" s="6">
        <f>IF(H55="","",H55^2)</f>
        <v/>
      </c>
      <c r="J55" s="2" t="n"/>
    </row>
    <row r="56">
      <c r="A56" s="2" t="n"/>
      <c r="B56" s="2" t="n"/>
      <c r="C56" s="2" t="n"/>
      <c r="D56" s="2" t="n"/>
      <c r="E56" s="2" t="n"/>
      <c r="F56" s="6">
        <f>IF(B56="","",AVERAGE(C56:E56))</f>
        <v/>
      </c>
      <c r="G56" s="6">
        <f>IF(B56="","",'Регрессия'!$B$8*B56+'Регрессия'!$B$9)</f>
        <v/>
      </c>
      <c r="H56" s="6">
        <f>IF(F56="","",F56-G56)</f>
        <v/>
      </c>
      <c r="I56" s="6">
        <f>IF(H56="","",H56^2)</f>
        <v/>
      </c>
      <c r="J56" s="2" t="n"/>
    </row>
    <row r="57">
      <c r="A57" s="2" t="n"/>
      <c r="B57" s="2" t="n"/>
      <c r="C57" s="2" t="n"/>
      <c r="D57" s="2" t="n"/>
      <c r="E57" s="2" t="n"/>
      <c r="F57" s="6">
        <f>IF(B57="","",AVERAGE(C57:E57))</f>
        <v/>
      </c>
      <c r="G57" s="6">
        <f>IF(B57="","",'Регрессия'!$B$8*B57+'Регрессия'!$B$9)</f>
        <v/>
      </c>
      <c r="H57" s="6">
        <f>IF(F57="","",F57-G57)</f>
        <v/>
      </c>
      <c r="I57" s="6">
        <f>IF(H57="","",H57^2)</f>
        <v/>
      </c>
      <c r="J57" s="2" t="n"/>
    </row>
    <row r="58">
      <c r="A58" s="2" t="n"/>
      <c r="B58" s="2" t="n"/>
      <c r="C58" s="2" t="n"/>
      <c r="D58" s="2" t="n"/>
      <c r="E58" s="2" t="n"/>
      <c r="F58" s="6">
        <f>IF(B58="","",AVERAGE(C58:E58))</f>
        <v/>
      </c>
      <c r="G58" s="6">
        <f>IF(B58="","",'Регрессия'!$B$8*B58+'Регрессия'!$B$9)</f>
        <v/>
      </c>
      <c r="H58" s="6">
        <f>IF(F58="","",F58-G58)</f>
        <v/>
      </c>
      <c r="I58" s="6">
        <f>IF(H58="","",H58^2)</f>
        <v/>
      </c>
      <c r="J58" s="2" t="n"/>
    </row>
    <row r="59">
      <c r="A59" s="2" t="n"/>
      <c r="B59" s="2" t="n"/>
      <c r="C59" s="2" t="n"/>
      <c r="D59" s="2" t="n"/>
      <c r="E59" s="2" t="n"/>
      <c r="F59" s="6">
        <f>IF(B59="","",AVERAGE(C59:E59))</f>
        <v/>
      </c>
      <c r="G59" s="6">
        <f>IF(B59="","",'Регрессия'!$B$8*B59+'Регрессия'!$B$9)</f>
        <v/>
      </c>
      <c r="H59" s="6">
        <f>IF(F59="","",F59-G59)</f>
        <v/>
      </c>
      <c r="I59" s="6">
        <f>IF(H59="","",H59^2)</f>
        <v/>
      </c>
      <c r="J59" s="2" t="n"/>
    </row>
    <row r="60">
      <c r="A60" s="2" t="n"/>
      <c r="B60" s="2" t="n"/>
      <c r="C60" s="2" t="n"/>
      <c r="D60" s="2" t="n"/>
      <c r="E60" s="2" t="n"/>
      <c r="F60" s="6">
        <f>IF(B60="","",AVERAGE(C60:E60))</f>
        <v/>
      </c>
      <c r="G60" s="6">
        <f>IF(B60="","",'Регрессия'!$B$8*B60+'Регрессия'!$B$9)</f>
        <v/>
      </c>
      <c r="H60" s="6">
        <f>IF(F60="","",F60-G60)</f>
        <v/>
      </c>
      <c r="I60" s="6">
        <f>IF(H60="","",H60^2)</f>
        <v/>
      </c>
      <c r="J60" s="2" t="n"/>
    </row>
    <row r="61">
      <c r="A61" s="2" t="n"/>
      <c r="B61" s="2" t="n"/>
      <c r="C61" s="2" t="n"/>
      <c r="D61" s="2" t="n"/>
      <c r="E61" s="2" t="n"/>
      <c r="F61" s="6">
        <f>IF(B61="","",AVERAGE(C61:E61))</f>
        <v/>
      </c>
      <c r="G61" s="6">
        <f>IF(B61="","",'Регрессия'!$B$8*B61+'Регрессия'!$B$9)</f>
        <v/>
      </c>
      <c r="H61" s="6">
        <f>IF(F61="","",F61-G61)</f>
        <v/>
      </c>
      <c r="I61" s="6">
        <f>IF(H61="","",H61^2)</f>
        <v/>
      </c>
      <c r="J61" s="2" t="n"/>
    </row>
    <row r="62">
      <c r="A62" s="2" t="n"/>
      <c r="B62" s="2" t="n"/>
      <c r="C62" s="2" t="n"/>
      <c r="D62" s="2" t="n"/>
      <c r="E62" s="2" t="n"/>
      <c r="F62" s="6">
        <f>IF(B62="","",AVERAGE(C62:E62))</f>
        <v/>
      </c>
      <c r="G62" s="6">
        <f>IF(B62="","",'Регрессия'!$B$8*B62+'Регрессия'!$B$9)</f>
        <v/>
      </c>
      <c r="H62" s="6">
        <f>IF(F62="","",F62-G62)</f>
        <v/>
      </c>
      <c r="I62" s="6">
        <f>IF(H62="","",H62^2)</f>
        <v/>
      </c>
      <c r="J62" s="2" t="n"/>
    </row>
    <row r="63">
      <c r="A63" s="2" t="n"/>
      <c r="B63" s="2" t="n"/>
      <c r="C63" s="2" t="n"/>
      <c r="D63" s="2" t="n"/>
      <c r="E63" s="2" t="n"/>
      <c r="F63" s="6">
        <f>IF(B63="","",AVERAGE(C63:E63))</f>
        <v/>
      </c>
      <c r="G63" s="6">
        <f>IF(B63="","",'Регрессия'!$B$8*B63+'Регрессия'!$B$9)</f>
        <v/>
      </c>
      <c r="H63" s="6">
        <f>IF(F63="","",F63-G63)</f>
        <v/>
      </c>
      <c r="I63" s="6">
        <f>IF(H63="","",H63^2)</f>
        <v/>
      </c>
      <c r="J63" s="2" t="n"/>
    </row>
    <row r="64">
      <c r="A64" s="2" t="n"/>
      <c r="B64" s="2" t="n"/>
      <c r="C64" s="2" t="n"/>
      <c r="D64" s="2" t="n"/>
      <c r="E64" s="2" t="n"/>
      <c r="F64" s="6">
        <f>IF(B64="","",AVERAGE(C64:E64))</f>
        <v/>
      </c>
      <c r="G64" s="6">
        <f>IF(B64="","",'Регрессия'!$B$8*B64+'Регрессия'!$B$9)</f>
        <v/>
      </c>
      <c r="H64" s="6">
        <f>IF(F64="","",F64-G64)</f>
        <v/>
      </c>
      <c r="I64" s="6">
        <f>IF(H64="","",H64^2)</f>
        <v/>
      </c>
      <c r="J64" s="2" t="n"/>
    </row>
    <row r="65">
      <c r="A65" s="2" t="n"/>
      <c r="B65" s="2" t="n"/>
      <c r="C65" s="2" t="n"/>
      <c r="D65" s="2" t="n"/>
      <c r="E65" s="2" t="n"/>
      <c r="F65" s="6">
        <f>IF(B65="","",AVERAGE(C65:E65))</f>
        <v/>
      </c>
      <c r="G65" s="6">
        <f>IF(B65="","",'Регрессия'!$B$8*B65+'Регрессия'!$B$9)</f>
        <v/>
      </c>
      <c r="H65" s="6">
        <f>IF(F65="","",F65-G65)</f>
        <v/>
      </c>
      <c r="I65" s="6">
        <f>IF(H65="","",H65^2)</f>
        <v/>
      </c>
      <c r="J65" s="2" t="n"/>
    </row>
    <row r="66">
      <c r="A66" s="2" t="n"/>
      <c r="B66" s="2" t="n"/>
      <c r="C66" s="2" t="n"/>
      <c r="D66" s="2" t="n"/>
      <c r="E66" s="2" t="n"/>
      <c r="F66" s="6">
        <f>IF(B66="","",AVERAGE(C66:E66))</f>
        <v/>
      </c>
      <c r="G66" s="6">
        <f>IF(B66="","",'Регрессия'!$B$8*B66+'Регрессия'!$B$9)</f>
        <v/>
      </c>
      <c r="H66" s="6">
        <f>IF(F66="","",F66-G66)</f>
        <v/>
      </c>
      <c r="I66" s="6">
        <f>IF(H66="","",H66^2)</f>
        <v/>
      </c>
      <c r="J66" s="2" t="n"/>
    </row>
    <row r="67">
      <c r="A67" s="2" t="n"/>
      <c r="B67" s="2" t="n"/>
      <c r="C67" s="2" t="n"/>
      <c r="D67" s="2" t="n"/>
      <c r="E67" s="2" t="n"/>
      <c r="F67" s="6">
        <f>IF(B67="","",AVERAGE(C67:E67))</f>
        <v/>
      </c>
      <c r="G67" s="6">
        <f>IF(B67="","",'Регрессия'!$B$8*B67+'Регрессия'!$B$9)</f>
        <v/>
      </c>
      <c r="H67" s="6">
        <f>IF(F67="","",F67-G67)</f>
        <v/>
      </c>
      <c r="I67" s="6">
        <f>IF(H67="","",H67^2)</f>
        <v/>
      </c>
      <c r="J67" s="2" t="n"/>
    </row>
    <row r="68">
      <c r="A68" s="2" t="n"/>
      <c r="B68" s="2" t="n"/>
      <c r="C68" s="2" t="n"/>
      <c r="D68" s="2" t="n"/>
      <c r="E68" s="2" t="n"/>
      <c r="F68" s="6">
        <f>IF(B68="","",AVERAGE(C68:E68))</f>
        <v/>
      </c>
      <c r="G68" s="6">
        <f>IF(B68="","",'Регрессия'!$B$8*B68+'Регрессия'!$B$9)</f>
        <v/>
      </c>
      <c r="H68" s="6">
        <f>IF(F68="","",F68-G68)</f>
        <v/>
      </c>
      <c r="I68" s="6">
        <f>IF(H68="","",H68^2)</f>
        <v/>
      </c>
      <c r="J68" s="2" t="n"/>
    </row>
    <row r="69">
      <c r="A69" s="2" t="n"/>
      <c r="B69" s="2" t="n"/>
      <c r="C69" s="2" t="n"/>
      <c r="D69" s="2" t="n"/>
      <c r="E69" s="2" t="n"/>
      <c r="F69" s="6">
        <f>IF(B69="","",AVERAGE(C69:E69))</f>
        <v/>
      </c>
      <c r="G69" s="6">
        <f>IF(B69="","",'Регрессия'!$B$8*B69+'Регрессия'!$B$9)</f>
        <v/>
      </c>
      <c r="H69" s="6">
        <f>IF(F69="","",F69-G69)</f>
        <v/>
      </c>
      <c r="I69" s="6">
        <f>IF(H69="","",H69^2)</f>
        <v/>
      </c>
      <c r="J69" s="2" t="n"/>
    </row>
    <row r="70">
      <c r="A70" s="2" t="n"/>
      <c r="B70" s="2" t="n"/>
      <c r="C70" s="2" t="n"/>
      <c r="D70" s="2" t="n"/>
      <c r="E70" s="2" t="n"/>
      <c r="F70" s="6">
        <f>IF(B70="","",AVERAGE(C70:E70))</f>
        <v/>
      </c>
      <c r="G70" s="6">
        <f>IF(B70="","",'Регрессия'!$B$8*B70+'Регрессия'!$B$9)</f>
        <v/>
      </c>
      <c r="H70" s="6">
        <f>IF(F70="","",F70-G70)</f>
        <v/>
      </c>
      <c r="I70" s="6">
        <f>IF(H70="","",H70^2)</f>
        <v/>
      </c>
      <c r="J70" s="2" t="n"/>
    </row>
    <row r="71">
      <c r="A71" s="2" t="n"/>
      <c r="B71" s="2" t="n"/>
      <c r="C71" s="2" t="n"/>
      <c r="D71" s="2" t="n"/>
      <c r="E71" s="2" t="n"/>
      <c r="F71" s="6">
        <f>IF(B71="","",AVERAGE(C71:E71))</f>
        <v/>
      </c>
      <c r="G71" s="6">
        <f>IF(B71="","",'Регрессия'!$B$8*B71+'Регрессия'!$B$9)</f>
        <v/>
      </c>
      <c r="H71" s="6">
        <f>IF(F71="","",F71-G71)</f>
        <v/>
      </c>
      <c r="I71" s="6">
        <f>IF(H71="","",H71^2)</f>
        <v/>
      </c>
      <c r="J71" s="2" t="n"/>
    </row>
    <row r="72">
      <c r="A72" s="2" t="n"/>
      <c r="B72" s="2" t="n"/>
      <c r="C72" s="2" t="n"/>
      <c r="D72" s="2" t="n"/>
      <c r="E72" s="2" t="n"/>
      <c r="F72" s="6">
        <f>IF(B72="","",AVERAGE(C72:E72))</f>
        <v/>
      </c>
      <c r="G72" s="6">
        <f>IF(B72="","",'Регрессия'!$B$8*B72+'Регрессия'!$B$9)</f>
        <v/>
      </c>
      <c r="H72" s="6">
        <f>IF(F72="","",F72-G72)</f>
        <v/>
      </c>
      <c r="I72" s="6">
        <f>IF(H72="","",H72^2)</f>
        <v/>
      </c>
      <c r="J72" s="2" t="n"/>
    </row>
    <row r="73">
      <c r="A73" s="2" t="n"/>
      <c r="B73" s="2" t="n"/>
      <c r="C73" s="2" t="n"/>
      <c r="D73" s="2" t="n"/>
      <c r="E73" s="2" t="n"/>
      <c r="F73" s="6">
        <f>IF(B73="","",AVERAGE(C73:E73))</f>
        <v/>
      </c>
      <c r="G73" s="6">
        <f>IF(B73="","",'Регрессия'!$B$8*B73+'Регрессия'!$B$9)</f>
        <v/>
      </c>
      <c r="H73" s="6">
        <f>IF(F73="","",F73-G73)</f>
        <v/>
      </c>
      <c r="I73" s="6">
        <f>IF(H73="","",H73^2)</f>
        <v/>
      </c>
      <c r="J73" s="2" t="n"/>
    </row>
    <row r="74">
      <c r="A74" s="2" t="n"/>
      <c r="B74" s="2" t="n"/>
      <c r="C74" s="2" t="n"/>
      <c r="D74" s="2" t="n"/>
      <c r="E74" s="2" t="n"/>
      <c r="F74" s="6">
        <f>IF(B74="","",AVERAGE(C74:E74))</f>
        <v/>
      </c>
      <c r="G74" s="6">
        <f>IF(B74="","",'Регрессия'!$B$8*B74+'Регрессия'!$B$9)</f>
        <v/>
      </c>
      <c r="H74" s="6">
        <f>IF(F74="","",F74-G74)</f>
        <v/>
      </c>
      <c r="I74" s="6">
        <f>IF(H74="","",H74^2)</f>
        <v/>
      </c>
      <c r="J74" s="2" t="n"/>
    </row>
    <row r="75">
      <c r="A75" s="2" t="n"/>
      <c r="B75" s="2" t="n"/>
      <c r="C75" s="2" t="n"/>
      <c r="D75" s="2" t="n"/>
      <c r="E75" s="2" t="n"/>
      <c r="F75" s="6">
        <f>IF(B75="","",AVERAGE(C75:E75))</f>
        <v/>
      </c>
      <c r="G75" s="6">
        <f>IF(B75="","",'Регрессия'!$B$8*B75+'Регрессия'!$B$9)</f>
        <v/>
      </c>
      <c r="H75" s="6">
        <f>IF(F75="","",F75-G75)</f>
        <v/>
      </c>
      <c r="I75" s="6">
        <f>IF(H75="","",H75^2)</f>
        <v/>
      </c>
      <c r="J75" s="2" t="n"/>
    </row>
    <row r="76">
      <c r="A76" s="2" t="n"/>
      <c r="B76" s="2" t="n"/>
      <c r="C76" s="2" t="n"/>
      <c r="D76" s="2" t="n"/>
      <c r="E76" s="2" t="n"/>
      <c r="F76" s="6">
        <f>IF(B76="","",AVERAGE(C76:E76))</f>
        <v/>
      </c>
      <c r="G76" s="6">
        <f>IF(B76="","",'Регрессия'!$B$8*B76+'Регрессия'!$B$9)</f>
        <v/>
      </c>
      <c r="H76" s="6">
        <f>IF(F76="","",F76-G76)</f>
        <v/>
      </c>
      <c r="I76" s="6">
        <f>IF(H76="","",H76^2)</f>
        <v/>
      </c>
      <c r="J76" s="2" t="n"/>
    </row>
    <row r="77">
      <c r="A77" s="2" t="n"/>
      <c r="B77" s="2" t="n"/>
      <c r="C77" s="2" t="n"/>
      <c r="D77" s="2" t="n"/>
      <c r="E77" s="2" t="n"/>
      <c r="F77" s="6">
        <f>IF(B77="","",AVERAGE(C77:E77))</f>
        <v/>
      </c>
      <c r="G77" s="6">
        <f>IF(B77="","",'Регрессия'!$B$8*B77+'Регрессия'!$B$9)</f>
        <v/>
      </c>
      <c r="H77" s="6">
        <f>IF(F77="","",F77-G77)</f>
        <v/>
      </c>
      <c r="I77" s="6">
        <f>IF(H77="","",H77^2)</f>
        <v/>
      </c>
      <c r="J77" s="2" t="n"/>
    </row>
    <row r="78">
      <c r="A78" s="2" t="n"/>
      <c r="B78" s="2" t="n"/>
      <c r="C78" s="2" t="n"/>
      <c r="D78" s="2" t="n"/>
      <c r="E78" s="2" t="n"/>
      <c r="F78" s="6">
        <f>IF(B78="","",AVERAGE(C78:E78))</f>
        <v/>
      </c>
      <c r="G78" s="6">
        <f>IF(B78="","",'Регрессия'!$B$8*B78+'Регрессия'!$B$9)</f>
        <v/>
      </c>
      <c r="H78" s="6">
        <f>IF(F78="","",F78-G78)</f>
        <v/>
      </c>
      <c r="I78" s="6">
        <f>IF(H78="","",H78^2)</f>
        <v/>
      </c>
      <c r="J78" s="2" t="n"/>
    </row>
    <row r="79">
      <c r="A79" s="2" t="n"/>
      <c r="B79" s="2" t="n"/>
      <c r="C79" s="2" t="n"/>
      <c r="D79" s="2" t="n"/>
      <c r="E79" s="2" t="n"/>
      <c r="F79" s="6">
        <f>IF(B79="","",AVERAGE(C79:E79))</f>
        <v/>
      </c>
      <c r="G79" s="6">
        <f>IF(B79="","",'Регрессия'!$B$8*B79+'Регрессия'!$B$9)</f>
        <v/>
      </c>
      <c r="H79" s="6">
        <f>IF(F79="","",F79-G79)</f>
        <v/>
      </c>
      <c r="I79" s="6">
        <f>IF(H79="","",H79^2)</f>
        <v/>
      </c>
      <c r="J79" s="2" t="n"/>
    </row>
    <row r="80">
      <c r="A80" s="2" t="n"/>
      <c r="B80" s="2" t="n"/>
      <c r="C80" s="2" t="n"/>
      <c r="D80" s="2" t="n"/>
      <c r="E80" s="2" t="n"/>
      <c r="F80" s="6">
        <f>IF(B80="","",AVERAGE(C80:E80))</f>
        <v/>
      </c>
      <c r="G80" s="6">
        <f>IF(B80="","",'Регрессия'!$B$8*B80+'Регрессия'!$B$9)</f>
        <v/>
      </c>
      <c r="H80" s="6">
        <f>IF(F80="","",F80-G80)</f>
        <v/>
      </c>
      <c r="I80" s="6">
        <f>IF(H80="","",H80^2)</f>
        <v/>
      </c>
      <c r="J80" s="2" t="n"/>
    </row>
    <row r="81">
      <c r="A81" s="2" t="n"/>
      <c r="B81" s="2" t="n"/>
      <c r="C81" s="2" t="n"/>
      <c r="D81" s="2" t="n"/>
      <c r="E81" s="2" t="n"/>
      <c r="F81" s="6">
        <f>IF(B81="","",AVERAGE(C81:E81))</f>
        <v/>
      </c>
      <c r="G81" s="6">
        <f>IF(B81="","",'Регрессия'!$B$8*B81+'Регрессия'!$B$9)</f>
        <v/>
      </c>
      <c r="H81" s="6">
        <f>IF(F81="","",F81-G81)</f>
        <v/>
      </c>
      <c r="I81" s="6">
        <f>IF(H81="","",H81^2)</f>
        <v/>
      </c>
      <c r="J81" s="2" t="n"/>
    </row>
    <row r="82">
      <c r="A82" s="2" t="n"/>
      <c r="B82" s="2" t="n"/>
      <c r="C82" s="2" t="n"/>
      <c r="D82" s="2" t="n"/>
      <c r="E82" s="2" t="n"/>
      <c r="F82" s="6">
        <f>IF(B82="","",AVERAGE(C82:E82))</f>
        <v/>
      </c>
      <c r="G82" s="6">
        <f>IF(B82="","",'Регрессия'!$B$8*B82+'Регрессия'!$B$9)</f>
        <v/>
      </c>
      <c r="H82" s="6">
        <f>IF(F82="","",F82-G82)</f>
        <v/>
      </c>
      <c r="I82" s="6">
        <f>IF(H82="","",H82^2)</f>
        <v/>
      </c>
      <c r="J82" s="2" t="n"/>
    </row>
    <row r="83">
      <c r="A83" s="2" t="n"/>
      <c r="B83" s="2" t="n"/>
      <c r="C83" s="2" t="n"/>
      <c r="D83" s="2" t="n"/>
      <c r="E83" s="2" t="n"/>
      <c r="F83" s="6">
        <f>IF(B83="","",AVERAGE(C83:E83))</f>
        <v/>
      </c>
      <c r="G83" s="6">
        <f>IF(B83="","",'Регрессия'!$B$8*B83+'Регрессия'!$B$9)</f>
        <v/>
      </c>
      <c r="H83" s="6">
        <f>IF(F83="","",F83-G83)</f>
        <v/>
      </c>
      <c r="I83" s="6">
        <f>IF(H83="","",H83^2)</f>
        <v/>
      </c>
      <c r="J83" s="2" t="n"/>
    </row>
    <row r="84">
      <c r="A84" s="2" t="n"/>
      <c r="B84" s="2" t="n"/>
      <c r="C84" s="2" t="n"/>
      <c r="D84" s="2" t="n"/>
      <c r="E84" s="2" t="n"/>
      <c r="F84" s="6">
        <f>IF(B84="","",AVERAGE(C84:E84))</f>
        <v/>
      </c>
      <c r="G84" s="6">
        <f>IF(B84="","",'Регрессия'!$B$8*B84+'Регрессия'!$B$9)</f>
        <v/>
      </c>
      <c r="H84" s="6">
        <f>IF(F84="","",F84-G84)</f>
        <v/>
      </c>
      <c r="I84" s="6">
        <f>IF(H84="","",H84^2)</f>
        <v/>
      </c>
      <c r="J84" s="2" t="n"/>
    </row>
    <row r="85">
      <c r="A85" s="2" t="n"/>
      <c r="B85" s="2" t="n"/>
      <c r="C85" s="2" t="n"/>
      <c r="D85" s="2" t="n"/>
      <c r="E85" s="2" t="n"/>
      <c r="F85" s="6">
        <f>IF(B85="","",AVERAGE(C85:E85))</f>
        <v/>
      </c>
      <c r="G85" s="6">
        <f>IF(B85="","",'Регрессия'!$B$8*B85+'Регрессия'!$B$9)</f>
        <v/>
      </c>
      <c r="H85" s="6">
        <f>IF(F85="","",F85-G85)</f>
        <v/>
      </c>
      <c r="I85" s="6">
        <f>IF(H85="","",H85^2)</f>
        <v/>
      </c>
      <c r="J85" s="2" t="n"/>
    </row>
    <row r="86">
      <c r="A86" s="2" t="n"/>
      <c r="B86" s="2" t="n"/>
      <c r="C86" s="2" t="n"/>
      <c r="D86" s="2" t="n"/>
      <c r="E86" s="2" t="n"/>
      <c r="F86" s="6">
        <f>IF(B86="","",AVERAGE(C86:E86))</f>
        <v/>
      </c>
      <c r="G86" s="6">
        <f>IF(B86="","",'Регрессия'!$B$8*B86+'Регрессия'!$B$9)</f>
        <v/>
      </c>
      <c r="H86" s="6">
        <f>IF(F86="","",F86-G86)</f>
        <v/>
      </c>
      <c r="I86" s="6">
        <f>IF(H86="","",H86^2)</f>
        <v/>
      </c>
      <c r="J86" s="2" t="n"/>
    </row>
    <row r="87">
      <c r="A87" s="2" t="n"/>
      <c r="B87" s="2" t="n"/>
      <c r="C87" s="2" t="n"/>
      <c r="D87" s="2" t="n"/>
      <c r="E87" s="2" t="n"/>
      <c r="F87" s="6">
        <f>IF(B87="","",AVERAGE(C87:E87))</f>
        <v/>
      </c>
      <c r="G87" s="6">
        <f>IF(B87="","",'Регрессия'!$B$8*B87+'Регрессия'!$B$9)</f>
        <v/>
      </c>
      <c r="H87" s="6">
        <f>IF(F87="","",F87-G87)</f>
        <v/>
      </c>
      <c r="I87" s="6">
        <f>IF(H87="","",H87^2)</f>
        <v/>
      </c>
      <c r="J87" s="2" t="n"/>
    </row>
    <row r="88">
      <c r="A88" s="2" t="n"/>
      <c r="B88" s="2" t="n"/>
      <c r="C88" s="2" t="n"/>
      <c r="D88" s="2" t="n"/>
      <c r="E88" s="2" t="n"/>
      <c r="F88" s="6">
        <f>IF(B88="","",AVERAGE(C88:E88))</f>
        <v/>
      </c>
      <c r="G88" s="6">
        <f>IF(B88="","",'Регрессия'!$B$8*B88+'Регрессия'!$B$9)</f>
        <v/>
      </c>
      <c r="H88" s="6">
        <f>IF(F88="","",F88-G88)</f>
        <v/>
      </c>
      <c r="I88" s="6">
        <f>IF(H88="","",H88^2)</f>
        <v/>
      </c>
      <c r="J88" s="2" t="n"/>
    </row>
    <row r="89">
      <c r="A89" s="2" t="n"/>
      <c r="B89" s="2" t="n"/>
      <c r="C89" s="2" t="n"/>
      <c r="D89" s="2" t="n"/>
      <c r="E89" s="2" t="n"/>
      <c r="F89" s="6">
        <f>IF(B89="","",AVERAGE(C89:E89))</f>
        <v/>
      </c>
      <c r="G89" s="6">
        <f>IF(B89="","",'Регрессия'!$B$8*B89+'Регрессия'!$B$9)</f>
        <v/>
      </c>
      <c r="H89" s="6">
        <f>IF(F89="","",F89-G89)</f>
        <v/>
      </c>
      <c r="I89" s="6">
        <f>IF(H89="","",H89^2)</f>
        <v/>
      </c>
      <c r="J89" s="2" t="n"/>
    </row>
    <row r="90">
      <c r="A90" s="2" t="n"/>
      <c r="B90" s="2" t="n"/>
      <c r="C90" s="2" t="n"/>
      <c r="D90" s="2" t="n"/>
      <c r="E90" s="2" t="n"/>
      <c r="F90" s="6">
        <f>IF(B90="","",AVERAGE(C90:E90))</f>
        <v/>
      </c>
      <c r="G90" s="6">
        <f>IF(B90="","",'Регрессия'!$B$8*B90+'Регрессия'!$B$9)</f>
        <v/>
      </c>
      <c r="H90" s="6">
        <f>IF(F90="","",F90-G90)</f>
        <v/>
      </c>
      <c r="I90" s="6">
        <f>IF(H90="","",H90^2)</f>
        <v/>
      </c>
      <c r="J90" s="2" t="n"/>
    </row>
    <row r="91">
      <c r="A91" s="2" t="n"/>
      <c r="B91" s="2" t="n"/>
      <c r="C91" s="2" t="n"/>
      <c r="D91" s="2" t="n"/>
      <c r="E91" s="2" t="n"/>
      <c r="F91" s="6">
        <f>IF(B91="","",AVERAGE(C91:E91))</f>
        <v/>
      </c>
      <c r="G91" s="6">
        <f>IF(B91="","",'Регрессия'!$B$8*B91+'Регрессия'!$B$9)</f>
        <v/>
      </c>
      <c r="H91" s="6">
        <f>IF(F91="","",F91-G91)</f>
        <v/>
      </c>
      <c r="I91" s="6">
        <f>IF(H91="","",H91^2)</f>
        <v/>
      </c>
      <c r="J91" s="2" t="n"/>
    </row>
    <row r="92">
      <c r="A92" s="2" t="n"/>
      <c r="B92" s="2" t="n"/>
      <c r="C92" s="2" t="n"/>
      <c r="D92" s="2" t="n"/>
      <c r="E92" s="2" t="n"/>
      <c r="F92" s="6">
        <f>IF(B92="","",AVERAGE(C92:E92))</f>
        <v/>
      </c>
      <c r="G92" s="6">
        <f>IF(B92="","",'Регрессия'!$B$8*B92+'Регрессия'!$B$9)</f>
        <v/>
      </c>
      <c r="H92" s="6">
        <f>IF(F92="","",F92-G92)</f>
        <v/>
      </c>
      <c r="I92" s="6">
        <f>IF(H92="","",H92^2)</f>
        <v/>
      </c>
      <c r="J92" s="2" t="n"/>
    </row>
    <row r="93">
      <c r="A93" s="2" t="n"/>
      <c r="B93" s="2" t="n"/>
      <c r="C93" s="2" t="n"/>
      <c r="D93" s="2" t="n"/>
      <c r="E93" s="2" t="n"/>
      <c r="F93" s="6">
        <f>IF(B93="","",AVERAGE(C93:E93))</f>
        <v/>
      </c>
      <c r="G93" s="6">
        <f>IF(B93="","",'Регрессия'!$B$8*B93+'Регрессия'!$B$9)</f>
        <v/>
      </c>
      <c r="H93" s="6">
        <f>IF(F93="","",F93-G93)</f>
        <v/>
      </c>
      <c r="I93" s="6">
        <f>IF(H93="","",H93^2)</f>
        <v/>
      </c>
      <c r="J93" s="2" t="n"/>
    </row>
    <row r="94">
      <c r="A94" s="2" t="n"/>
      <c r="B94" s="2" t="n"/>
      <c r="C94" s="2" t="n"/>
      <c r="D94" s="2" t="n"/>
      <c r="E94" s="2" t="n"/>
      <c r="F94" s="6">
        <f>IF(B94="","",AVERAGE(C94:E94))</f>
        <v/>
      </c>
      <c r="G94" s="6">
        <f>IF(B94="","",'Регрессия'!$B$8*B94+'Регрессия'!$B$9)</f>
        <v/>
      </c>
      <c r="H94" s="6">
        <f>IF(F94="","",F94-G94)</f>
        <v/>
      </c>
      <c r="I94" s="6">
        <f>IF(H94="","",H94^2)</f>
        <v/>
      </c>
      <c r="J94" s="2" t="n"/>
    </row>
    <row r="95">
      <c r="A95" s="2" t="n"/>
      <c r="B95" s="2" t="n"/>
      <c r="C95" s="2" t="n"/>
      <c r="D95" s="2" t="n"/>
      <c r="E95" s="2" t="n"/>
      <c r="F95" s="6">
        <f>IF(B95="","",AVERAGE(C95:E95))</f>
        <v/>
      </c>
      <c r="G95" s="6">
        <f>IF(B95="","",'Регрессия'!$B$8*B95+'Регрессия'!$B$9)</f>
        <v/>
      </c>
      <c r="H95" s="6">
        <f>IF(F95="","",F95-G95)</f>
        <v/>
      </c>
      <c r="I95" s="6">
        <f>IF(H95="","",H95^2)</f>
        <v/>
      </c>
      <c r="J95" s="2" t="n"/>
    </row>
    <row r="96">
      <c r="A96" s="2" t="n"/>
      <c r="B96" s="2" t="n"/>
      <c r="C96" s="2" t="n"/>
      <c r="D96" s="2" t="n"/>
      <c r="E96" s="2" t="n"/>
      <c r="F96" s="6">
        <f>IF(B96="","",AVERAGE(C96:E96))</f>
        <v/>
      </c>
      <c r="G96" s="6">
        <f>IF(B96="","",'Регрессия'!$B$8*B96+'Регрессия'!$B$9)</f>
        <v/>
      </c>
      <c r="H96" s="6">
        <f>IF(F96="","",F96-G96)</f>
        <v/>
      </c>
      <c r="I96" s="6">
        <f>IF(H96="","",H96^2)</f>
        <v/>
      </c>
      <c r="J96" s="2" t="n"/>
    </row>
    <row r="97">
      <c r="A97" s="2" t="n"/>
      <c r="B97" s="2" t="n"/>
      <c r="C97" s="2" t="n"/>
      <c r="D97" s="2" t="n"/>
      <c r="E97" s="2" t="n"/>
      <c r="F97" s="6">
        <f>IF(B97="","",AVERAGE(C97:E97))</f>
        <v/>
      </c>
      <c r="G97" s="6">
        <f>IF(B97="","",'Регрессия'!$B$8*B97+'Регрессия'!$B$9)</f>
        <v/>
      </c>
      <c r="H97" s="6">
        <f>IF(F97="","",F97-G97)</f>
        <v/>
      </c>
      <c r="I97" s="6">
        <f>IF(H97="","",H97^2)</f>
        <v/>
      </c>
      <c r="J97" s="2" t="n"/>
    </row>
    <row r="98">
      <c r="A98" s="2" t="n"/>
      <c r="B98" s="2" t="n"/>
      <c r="C98" s="2" t="n"/>
      <c r="D98" s="2" t="n"/>
      <c r="E98" s="2" t="n"/>
      <c r="F98" s="6">
        <f>IF(B98="","",AVERAGE(C98:E98))</f>
        <v/>
      </c>
      <c r="G98" s="6">
        <f>IF(B98="","",'Регрессия'!$B$8*B98+'Регрессия'!$B$9)</f>
        <v/>
      </c>
      <c r="H98" s="6">
        <f>IF(F98="","",F98-G98)</f>
        <v/>
      </c>
      <c r="I98" s="6">
        <f>IF(H98="","",H98^2)</f>
        <v/>
      </c>
      <c r="J98" s="2" t="n"/>
    </row>
    <row r="99">
      <c r="A99" s="2" t="n"/>
      <c r="B99" s="2" t="n"/>
      <c r="C99" s="2" t="n"/>
      <c r="D99" s="2" t="n"/>
      <c r="E99" s="2" t="n"/>
      <c r="F99" s="6">
        <f>IF(B99="","",AVERAGE(C99:E99))</f>
        <v/>
      </c>
      <c r="G99" s="6">
        <f>IF(B99="","",'Регрессия'!$B$8*B99+'Регрессия'!$B$9)</f>
        <v/>
      </c>
      <c r="H99" s="6">
        <f>IF(F99="","",F99-G99)</f>
        <v/>
      </c>
      <c r="I99" s="6">
        <f>IF(H99="","",H99^2)</f>
        <v/>
      </c>
      <c r="J99" s="2" t="n"/>
    </row>
    <row r="100">
      <c r="A100" s="2" t="n"/>
      <c r="B100" s="2" t="n"/>
      <c r="C100" s="2" t="n"/>
      <c r="D100" s="2" t="n"/>
      <c r="E100" s="2" t="n"/>
      <c r="F100" s="6">
        <f>IF(B100="","",AVERAGE(C100:E100))</f>
        <v/>
      </c>
      <c r="G100" s="6">
        <f>IF(B100="","",'Регрессия'!$B$8*B100+'Регрессия'!$B$9)</f>
        <v/>
      </c>
      <c r="H100" s="6">
        <f>IF(F100="","",F100-G100)</f>
        <v/>
      </c>
      <c r="I100" s="6">
        <f>IF(H100="","",H100^2)</f>
        <v/>
      </c>
      <c r="J100" s="2" t="n"/>
    </row>
    <row r="101">
      <c r="A101" s="2" t="n"/>
      <c r="B101" s="2" t="n"/>
      <c r="C101" s="2" t="n"/>
      <c r="D101" s="2" t="n"/>
      <c r="E101" s="2" t="n"/>
      <c r="F101" s="6">
        <f>IF(B101="","",AVERAGE(C101:E101))</f>
        <v/>
      </c>
      <c r="G101" s="6">
        <f>IF(B101="","",'Регрессия'!$B$8*B101+'Регрессия'!$B$9)</f>
        <v/>
      </c>
      <c r="H101" s="6">
        <f>IF(F101="","",F101-G101)</f>
        <v/>
      </c>
      <c r="I101" s="6">
        <f>IF(H101="","",H101^2)</f>
        <v/>
      </c>
      <c r="J101" s="2" t="n"/>
    </row>
    <row r="102">
      <c r="A102" s="2" t="n"/>
      <c r="B102" s="2" t="n"/>
      <c r="C102" s="2" t="n"/>
      <c r="D102" s="2" t="n"/>
      <c r="E102" s="2" t="n"/>
      <c r="F102" s="6">
        <f>IF(B102="","",AVERAGE(C102:E102))</f>
        <v/>
      </c>
      <c r="G102" s="6">
        <f>IF(B102="","",'Регрессия'!$B$8*B102+'Регрессия'!$B$9)</f>
        <v/>
      </c>
      <c r="H102" s="6">
        <f>IF(F102="","",F102-G102)</f>
        <v/>
      </c>
      <c r="I102" s="6">
        <f>IF(H102="","",H102^2)</f>
        <v/>
      </c>
      <c r="J102" s="2" t="n"/>
    </row>
    <row r="103">
      <c r="A103" s="2" t="n"/>
      <c r="B103" s="2" t="n"/>
      <c r="C103" s="2" t="n"/>
      <c r="D103" s="2" t="n"/>
      <c r="E103" s="2" t="n"/>
      <c r="F103" s="6">
        <f>IF(B103="","",AVERAGE(C103:E103))</f>
        <v/>
      </c>
      <c r="G103" s="6">
        <f>IF(B103="","",'Регрессия'!$B$8*B103+'Регрессия'!$B$9)</f>
        <v/>
      </c>
      <c r="H103" s="6">
        <f>IF(F103="","",F103-G103)</f>
        <v/>
      </c>
      <c r="I103" s="6">
        <f>IF(H103="","",H103^2)</f>
        <v/>
      </c>
      <c r="J103" s="2" t="n"/>
    </row>
    <row r="104">
      <c r="A104" s="2" t="n"/>
      <c r="B104" s="2" t="n"/>
      <c r="C104" s="2" t="n"/>
      <c r="D104" s="2" t="n"/>
      <c r="E104" s="2" t="n"/>
      <c r="F104" s="6">
        <f>IF(B104="","",AVERAGE(C104:E104))</f>
        <v/>
      </c>
      <c r="G104" s="6">
        <f>IF(B104="","",'Регрессия'!$B$8*B104+'Регрессия'!$B$9)</f>
        <v/>
      </c>
      <c r="H104" s="6">
        <f>IF(F104="","",F104-G104)</f>
        <v/>
      </c>
      <c r="I104" s="6">
        <f>IF(H104="","",H104^2)</f>
        <v/>
      </c>
      <c r="J104" s="2" t="n"/>
    </row>
    <row r="105">
      <c r="A105" s="2" t="n"/>
      <c r="B105" s="2" t="n"/>
      <c r="C105" s="2" t="n"/>
      <c r="D105" s="2" t="n"/>
      <c r="E105" s="2" t="n"/>
      <c r="F105" s="6">
        <f>IF(B105="","",AVERAGE(C105:E105))</f>
        <v/>
      </c>
      <c r="G105" s="6">
        <f>IF(B105="","",'Регрессия'!$B$8*B105+'Регрессия'!$B$9)</f>
        <v/>
      </c>
      <c r="H105" s="6">
        <f>IF(F105="","",F105-G105)</f>
        <v/>
      </c>
      <c r="I105" s="6">
        <f>IF(H105="","",H105^2)</f>
        <v/>
      </c>
      <c r="J105" s="2" t="n"/>
    </row>
    <row r="106">
      <c r="A106" s="2" t="n"/>
      <c r="B106" s="2" t="n"/>
      <c r="C106" s="2" t="n"/>
      <c r="D106" s="2" t="n"/>
      <c r="E106" s="2" t="n"/>
      <c r="F106" s="6">
        <f>IF(B106="","",AVERAGE(C106:E106))</f>
        <v/>
      </c>
      <c r="G106" s="6">
        <f>IF(B106="","",'Регрессия'!$B$8*B106+'Регрессия'!$B$9)</f>
        <v/>
      </c>
      <c r="H106" s="6">
        <f>IF(F106="","",F106-G106)</f>
        <v/>
      </c>
      <c r="I106" s="6">
        <f>IF(H106="","",H106^2)</f>
        <v/>
      </c>
      <c r="J106" s="2" t="n"/>
    </row>
    <row r="107">
      <c r="A107" s="2" t="n"/>
      <c r="B107" s="2" t="n"/>
      <c r="C107" s="2" t="n"/>
      <c r="D107" s="2" t="n"/>
      <c r="E107" s="2" t="n"/>
      <c r="F107" s="6">
        <f>IF(B107="","",AVERAGE(C107:E107))</f>
        <v/>
      </c>
      <c r="G107" s="6">
        <f>IF(B107="","",'Регрессия'!$B$8*B107+'Регрессия'!$B$9)</f>
        <v/>
      </c>
      <c r="H107" s="6">
        <f>IF(F107="","",F107-G107)</f>
        <v/>
      </c>
      <c r="I107" s="6">
        <f>IF(H107="","",H107^2)</f>
        <v/>
      </c>
      <c r="J107" s="2" t="n"/>
    </row>
    <row r="108">
      <c r="A108" s="2" t="n"/>
      <c r="B108" s="2" t="n"/>
      <c r="C108" s="2" t="n"/>
      <c r="D108" s="2" t="n"/>
      <c r="E108" s="2" t="n"/>
      <c r="F108" s="6">
        <f>IF(B108="","",AVERAGE(C108:E108))</f>
        <v/>
      </c>
      <c r="G108" s="6">
        <f>IF(B108="","",'Регрессия'!$B$8*B108+'Регрессия'!$B$9)</f>
        <v/>
      </c>
      <c r="H108" s="6">
        <f>IF(F108="","",F108-G108)</f>
        <v/>
      </c>
      <c r="I108" s="6">
        <f>IF(H108="","",H108^2)</f>
        <v/>
      </c>
      <c r="J108" s="2" t="n"/>
    </row>
  </sheetData>
  <dataValidations count="3">
    <dataValidation sqref="B6" showDropDown="0" showInputMessage="0" showErrorMessage="0" allowBlank="0" type="list">
      <formula1>"1,2,3"</formula1>
    </dataValidation>
    <dataValidation sqref="B4" showDropDown="0" showInputMessage="0" showErrorMessage="0" allowBlank="0" type="whole" operator="greaterThanOrEqual">
      <formula1>1</formula1>
    </dataValidation>
    <dataValidation sqref="B5" showDropDown="0" showInputMessage="0" showErrorMessage="0" allowBlank="0" type="decimal" operator="between">
      <formula1>0</formula1>
      <formula2>1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0" customWidth="1" min="3" max="3"/>
  </cols>
  <sheetData>
    <row r="1">
      <c r="A1" s="1" t="inlineStr">
        <is>
          <t>СТАТИСТИКИ ЛИНЕЙНОЙ РЕГРЕССИИ (ОМНК)</t>
        </is>
      </c>
      <c r="B1" s="2" t="n"/>
    </row>
    <row r="2">
      <c r="A2" s="7" t="inlineStr">
        <is>
          <t>Число точек калибровки n</t>
        </is>
      </c>
      <c r="B2" s="8">
        <f>COUNT('Ввод'!B9:B108)</f>
        <v/>
      </c>
    </row>
    <row r="3">
      <c r="A3" s="7" t="inlineStr">
        <is>
          <t>Среднее x̄</t>
        </is>
      </c>
      <c r="B3" s="8">
        <f>AVERAGE('Ввод'!B9:B108)</f>
        <v/>
      </c>
    </row>
    <row r="4">
      <c r="A4" s="7" t="inlineStr">
        <is>
          <t>Среднее ȳ</t>
        </is>
      </c>
      <c r="B4" s="8">
        <f>AVERAGE('Ввод'!F9:F108)</f>
        <v/>
      </c>
    </row>
    <row r="5">
      <c r="A5" s="7" t="inlineStr">
        <is>
          <t>Sxx = Σ(xᵢ−x̄)²</t>
        </is>
      </c>
      <c r="B5" s="8">
        <f>DEVSQ('Ввод'!B9:B108)</f>
        <v/>
      </c>
    </row>
    <row r="6">
      <c r="A6" s="7" t="inlineStr">
        <is>
          <t>Остаточная дисперсия s²y/x</t>
        </is>
      </c>
      <c r="B6" s="8">
        <f>IF(B2&gt;2,SUM('Ввод'!I9:I108)/(B2-2),NA())</f>
        <v/>
      </c>
    </row>
    <row r="7">
      <c r="A7" s="7" t="inlineStr">
        <is>
          <t>Наклон b1</t>
        </is>
      </c>
      <c r="B7" s="8">
        <f>SLOPE('Ввод'!F9:F108,'Ввод'!B9:B108)</f>
        <v/>
      </c>
    </row>
    <row r="8">
      <c r="A8" s="7" t="inlineStr">
        <is>
          <t>Сдвиг b0</t>
        </is>
      </c>
      <c r="B8" s="8">
        <f>INTERCEPT('Ввод'!F9:F108,'Ввод'!B9:B108)</f>
        <v/>
      </c>
    </row>
    <row r="9">
      <c r="A9" s="7" t="inlineStr">
        <is>
          <t>var(b1)</t>
        </is>
      </c>
      <c r="B9" s="8">
        <f>B6/B5</f>
        <v/>
      </c>
    </row>
    <row r="10">
      <c r="A10" s="7" t="inlineStr">
        <is>
          <t>var(b0)</t>
        </is>
      </c>
      <c r="B10" s="8">
        <f>B6*(1/B2+B3^2/B5)</f>
        <v/>
      </c>
    </row>
    <row r="11">
      <c r="A11" s="7" t="inlineStr">
        <is>
          <t>cov(b0,b1)</t>
        </is>
      </c>
      <c r="B11" s="8">
        <f>-B6*B3/B5</f>
        <v/>
      </c>
    </row>
    <row r="12">
      <c r="A12" s="7" t="inlineStr">
        <is>
          <t>R²</t>
        </is>
      </c>
      <c r="B12" s="8">
        <f>RSQ('Ввод'!F9:F108,'Ввод'!B9:B108)</f>
        <v/>
      </c>
    </row>
    <row r="13">
      <c r="A13" s="7" t="inlineStr">
        <is>
          <t>b0/b1</t>
        </is>
      </c>
      <c r="B13" s="8">
        <f>B8/B7</f>
        <v/>
      </c>
    </row>
    <row r="14">
      <c r="A14" s="7" t="inlineStr">
        <is>
          <t>var(x_pred) ковариационная (полная)</t>
        </is>
      </c>
      <c r="B14" s="8">
        <f>(B10+B6/'Ввод'!B4-2*B11)/B7^2+(B13-'Неопределенность'!B1)^2*B9/B7^2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0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0" customWidth="1" min="3" max="3"/>
  </cols>
  <sheetData>
    <row r="1">
      <c r="A1" s="1" t="inlineStr">
        <is>
          <t>ВЗВЕШЕННАЯ РЕГРЕССИЯ (WLS): РАВНЫЕ ВЕСА / 1/x / 1/x²</t>
        </is>
      </c>
      <c r="B1" s="2" t="n"/>
      <c r="C1" s="2" t="n"/>
      <c r="D1" s="2" t="n"/>
      <c r="E1" s="2" t="n"/>
      <c r="F1" s="2" t="n"/>
    </row>
    <row r="2">
      <c r="A2" s="2" t="inlineStr">
        <is>
          <t>Текущий режим (задаётся на листе «Ввод», B6):</t>
        </is>
      </c>
      <c r="B2" s="6">
        <f>CHOOSE('Ввод'!$B$6,"равные веса (ОМНК)","w ∝ 1/x","w ∝ 1/x²")</f>
        <v/>
      </c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2" t="n"/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9" t="inlineStr">
        <is>
          <t>Относительный вес уровня</t>
        </is>
      </c>
    </row>
    <row r="10">
      <c r="A10" s="5" t="inlineStr">
        <is>
          <t>x</t>
        </is>
      </c>
      <c r="B10" s="5" t="inlineStr">
        <is>
          <t>y (среднее)</t>
        </is>
      </c>
      <c r="C10" s="5" t="inlineStr">
        <is>
          <t>Вес w</t>
        </is>
      </c>
      <c r="D10" s="5" t="inlineStr">
        <is>
          <t>w·y</t>
        </is>
      </c>
      <c r="E10" s="2" t="n"/>
      <c r="F10" s="2" t="n"/>
    </row>
    <row r="11">
      <c r="A11" s="6">
        <f>IF('Ввод'!B9="","",'Ввод'!B9)</f>
        <v/>
      </c>
      <c r="B11" s="6">
        <f>IF(A11="","",'Ввод'!F9)</f>
        <v/>
      </c>
      <c r="C11" s="6">
        <f>IF(A11="","",CHOOSE('Ввод'!$B$6,1,IF(A11&gt;0,1/A11,NA()),IF(A11&gt;0,1/A11^2,NA())))</f>
        <v/>
      </c>
      <c r="D11" s="6">
        <f>IF(A11="","",C11*B11)</f>
        <v/>
      </c>
      <c r="E11" s="2" t="n"/>
      <c r="F11" s="6">
        <f>IF(C11="","",C11/MAX($C$11:$C$110))</f>
        <v/>
      </c>
    </row>
    <row r="12">
      <c r="A12" s="6">
        <f>IF('Ввод'!B10="","",'Ввод'!B10)</f>
        <v/>
      </c>
      <c r="B12" s="6">
        <f>IF(A12="","",'Ввод'!F10)</f>
        <v/>
      </c>
      <c r="C12" s="6">
        <f>IF(A12="","",CHOOSE('Ввод'!$B$6,1,IF(A12&gt;0,1/A12,NA()),IF(A12&gt;0,1/A12^2,NA())))</f>
        <v/>
      </c>
      <c r="D12" s="6">
        <f>IF(A12="","",C12*B12)</f>
        <v/>
      </c>
      <c r="E12" s="2" t="n"/>
      <c r="F12" s="6">
        <f>IF(C12="","",C12/MAX($C$11:$C$110))</f>
        <v/>
      </c>
    </row>
    <row r="13">
      <c r="A13" s="6">
        <f>IF('Ввод'!B11="","",'Ввод'!B11)</f>
        <v/>
      </c>
      <c r="B13" s="6">
        <f>IF(A13="","",'Ввод'!F11)</f>
        <v/>
      </c>
      <c r="C13" s="6">
        <f>IF(A13="","",CHOOSE('Ввод'!$B$6,1,IF(A13&gt;0,1/A13,NA()),IF(A13&gt;0,1/A13^2,NA())))</f>
        <v/>
      </c>
      <c r="D13" s="6">
        <f>IF(A13="","",C13*B13)</f>
        <v/>
      </c>
      <c r="E13" s="2" t="n"/>
      <c r="F13" s="6">
        <f>IF(C13="","",C13/MAX($C$11:$C$110))</f>
        <v/>
      </c>
    </row>
    <row r="14">
      <c r="A14" s="6">
        <f>IF('Ввод'!B12="","",'Ввод'!B12)</f>
        <v/>
      </c>
      <c r="B14" s="6">
        <f>IF(A14="","",'Ввод'!F12)</f>
        <v/>
      </c>
      <c r="C14" s="6">
        <f>IF(A14="","",CHOOSE('Ввод'!$B$6,1,IF(A14&gt;0,1/A14,NA()),IF(A14&gt;0,1/A14^2,NA())))</f>
        <v/>
      </c>
      <c r="D14" s="6">
        <f>IF(A14="","",C14*B14)</f>
        <v/>
      </c>
      <c r="E14" s="2" t="n"/>
      <c r="F14" s="6">
        <f>IF(C14="","",C14/MAX($C$11:$C$110))</f>
        <v/>
      </c>
    </row>
    <row r="15">
      <c r="A15" s="6">
        <f>IF('Ввод'!B13="","",'Ввод'!B13)</f>
        <v/>
      </c>
      <c r="B15" s="6">
        <f>IF(A15="","",'Ввод'!F13)</f>
        <v/>
      </c>
      <c r="C15" s="6">
        <f>IF(A15="","",CHOOSE('Ввод'!$B$6,1,IF(A15&gt;0,1/A15,NA()),IF(A15&gt;0,1/A15^2,NA())))</f>
        <v/>
      </c>
      <c r="D15" s="6">
        <f>IF(A15="","",C15*B15)</f>
        <v/>
      </c>
      <c r="E15" s="2" t="n"/>
      <c r="F15" s="6">
        <f>IF(C15="","",C15/MAX($C$11:$C$110))</f>
        <v/>
      </c>
    </row>
    <row r="16">
      <c r="A16" s="6">
        <f>IF('Ввод'!B14="","",'Ввод'!B14)</f>
        <v/>
      </c>
      <c r="B16" s="6">
        <f>IF(A16="","",'Ввод'!F14)</f>
        <v/>
      </c>
      <c r="C16" s="6">
        <f>IF(A16="","",CHOOSE('Ввод'!$B$6,1,IF(A16&gt;0,1/A16,NA()),IF(A16&gt;0,1/A16^2,NA())))</f>
        <v/>
      </c>
      <c r="D16" s="6">
        <f>IF(A16="","",C16*B16)</f>
        <v/>
      </c>
      <c r="E16" s="2" t="n"/>
      <c r="F16" s="6">
        <f>IF(C16="","",C16/MAX($C$11:$C$110))</f>
        <v/>
      </c>
    </row>
    <row r="17">
      <c r="A17" s="6">
        <f>IF('Ввод'!B15="","",'Ввод'!B15)</f>
        <v/>
      </c>
      <c r="B17" s="6">
        <f>IF(A17="","",'Ввод'!F15)</f>
        <v/>
      </c>
      <c r="C17" s="6">
        <f>IF(A17="","",CHOOSE('Ввод'!$B$6,1,IF(A17&gt;0,1/A17,NA()),IF(A17&gt;0,1/A17^2,NA())))</f>
        <v/>
      </c>
      <c r="D17" s="6">
        <f>IF(A17="","",C17*B17)</f>
        <v/>
      </c>
      <c r="E17" s="2" t="n"/>
      <c r="F17" s="6">
        <f>IF(C17="","",C17/MAX($C$11:$C$110))</f>
        <v/>
      </c>
    </row>
    <row r="18">
      <c r="A18" s="6">
        <f>IF('Ввод'!B16="","",'Ввод'!B16)</f>
        <v/>
      </c>
      <c r="B18" s="6">
        <f>IF(A18="","",'Ввод'!F16)</f>
        <v/>
      </c>
      <c r="C18" s="6">
        <f>IF(A18="","",CHOOSE('Ввод'!$B$6,1,IF(A18&gt;0,1/A18,NA()),IF(A18&gt;0,1/A18^2,NA())))</f>
        <v/>
      </c>
      <c r="D18" s="6">
        <f>IF(A18="","",C18*B18)</f>
        <v/>
      </c>
      <c r="E18" s="2" t="n"/>
      <c r="F18" s="6">
        <f>IF(C18="","",C18/MAX($C$11:$C$110))</f>
        <v/>
      </c>
    </row>
    <row r="19">
      <c r="A19" s="6">
        <f>IF('Ввод'!B17="","",'Ввод'!B17)</f>
        <v/>
      </c>
      <c r="B19" s="6">
        <f>IF(A19="","",'Ввод'!F17)</f>
        <v/>
      </c>
      <c r="C19" s="6">
        <f>IF(A19="","",CHOOSE('Ввод'!$B$6,1,IF(A19&gt;0,1/A19,NA()),IF(A19&gt;0,1/A19^2,NA())))</f>
        <v/>
      </c>
      <c r="D19" s="6">
        <f>IF(A19="","",C19*B19)</f>
        <v/>
      </c>
      <c r="E19" s="2" t="n"/>
      <c r="F19" s="6">
        <f>IF(C19="","",C19/MAX($C$11:$C$110))</f>
        <v/>
      </c>
    </row>
    <row r="20">
      <c r="A20" s="6">
        <f>IF('Ввод'!B18="","",'Ввод'!B18)</f>
        <v/>
      </c>
      <c r="B20" s="6">
        <f>IF(A20="","",'Ввод'!F18)</f>
        <v/>
      </c>
      <c r="C20" s="6">
        <f>IF(A20="","",CHOOSE('Ввод'!$B$6,1,IF(A20&gt;0,1/A20,NA()),IF(A20&gt;0,1/A20^2,NA())))</f>
        <v/>
      </c>
      <c r="D20" s="6">
        <f>IF(A20="","",C20*B20)</f>
        <v/>
      </c>
      <c r="E20" s="2" t="n"/>
      <c r="F20" s="6">
        <f>IF(C20="","",C20/MAX($C$11:$C$110))</f>
        <v/>
      </c>
    </row>
    <row r="21">
      <c r="A21" s="6">
        <f>IF('Ввод'!B19="","",'Ввод'!B19)</f>
        <v/>
      </c>
      <c r="B21" s="6">
        <f>IF(A21="","",'Ввод'!F19)</f>
        <v/>
      </c>
      <c r="C21" s="6">
        <f>IF(A21="","",CHOOSE('Ввод'!$B$6,1,IF(A21&gt;0,1/A21,NA()),IF(A21&gt;0,1/A21^2,NA())))</f>
        <v/>
      </c>
      <c r="D21" s="6">
        <f>IF(A21="","",C21*B21)</f>
        <v/>
      </c>
      <c r="E21" s="2" t="n"/>
      <c r="F21" s="6">
        <f>IF(C21="","",C21/MAX($C$11:$C$110))</f>
        <v/>
      </c>
    </row>
    <row r="22">
      <c r="A22" s="6">
        <f>IF('Ввод'!B20="","",'Ввод'!B20)</f>
        <v/>
      </c>
      <c r="B22" s="6">
        <f>IF(A22="","",'Ввод'!F20)</f>
        <v/>
      </c>
      <c r="C22" s="6">
        <f>IF(A22="","",CHOOSE('Ввод'!$B$6,1,IF(A22&gt;0,1/A22,NA()),IF(A22&gt;0,1/A22^2,NA())))</f>
        <v/>
      </c>
      <c r="D22" s="6">
        <f>IF(A22="","",C22*B22)</f>
        <v/>
      </c>
      <c r="E22" s="2" t="n"/>
      <c r="F22" s="6">
        <f>IF(C22="","",C22/MAX($C$11:$C$110))</f>
        <v/>
      </c>
    </row>
    <row r="23">
      <c r="A23" s="6">
        <f>IF('Ввод'!B21="","",'Ввод'!B21)</f>
        <v/>
      </c>
      <c r="B23" s="6">
        <f>IF(A23="","",'Ввод'!F21)</f>
        <v/>
      </c>
      <c r="C23" s="6">
        <f>IF(A23="","",CHOOSE('Ввод'!$B$6,1,IF(A23&gt;0,1/A23,NA()),IF(A23&gt;0,1/A23^2,NA())))</f>
        <v/>
      </c>
      <c r="D23" s="6">
        <f>IF(A23="","",C23*B23)</f>
        <v/>
      </c>
      <c r="E23" s="2" t="n"/>
      <c r="F23" s="6">
        <f>IF(C23="","",C23/MAX($C$11:$C$110))</f>
        <v/>
      </c>
    </row>
    <row r="24">
      <c r="A24" s="6">
        <f>IF('Ввод'!B22="","",'Ввод'!B22)</f>
        <v/>
      </c>
      <c r="B24" s="6">
        <f>IF(A24="","",'Ввод'!F22)</f>
        <v/>
      </c>
      <c r="C24" s="6">
        <f>IF(A24="","",CHOOSE('Ввод'!$B$6,1,IF(A24&gt;0,1/A24,NA()),IF(A24&gt;0,1/A24^2,NA())))</f>
        <v/>
      </c>
      <c r="D24" s="6">
        <f>IF(A24="","",C24*B24)</f>
        <v/>
      </c>
      <c r="E24" s="2" t="n"/>
      <c r="F24" s="6">
        <f>IF(C24="","",C24/MAX($C$11:$C$110))</f>
        <v/>
      </c>
    </row>
    <row r="25">
      <c r="A25" s="6">
        <f>IF('Ввод'!B23="","",'Ввод'!B23)</f>
        <v/>
      </c>
      <c r="B25" s="6">
        <f>IF(A25="","",'Ввод'!F23)</f>
        <v/>
      </c>
      <c r="C25" s="6">
        <f>IF(A25="","",CHOOSE('Ввод'!$B$6,1,IF(A25&gt;0,1/A25,NA()),IF(A25&gt;0,1/A25^2,NA())))</f>
        <v/>
      </c>
      <c r="D25" s="6">
        <f>IF(A25="","",C25*B25)</f>
        <v/>
      </c>
      <c r="E25" s="2" t="n"/>
      <c r="F25" s="6">
        <f>IF(C25="","",C25/MAX($C$11:$C$110))</f>
        <v/>
      </c>
    </row>
    <row r="26">
      <c r="A26" s="6">
        <f>IF('Ввод'!B24="","",'Ввод'!B24)</f>
        <v/>
      </c>
      <c r="B26" s="6">
        <f>IF(A26="","",'Ввод'!F24)</f>
        <v/>
      </c>
      <c r="C26" s="6">
        <f>IF(A26="","",CHOOSE('Ввод'!$B$6,1,IF(A26&gt;0,1/A26,NA()),IF(A26&gt;0,1/A26^2,NA())))</f>
        <v/>
      </c>
      <c r="D26" s="6">
        <f>IF(A26="","",C26*B26)</f>
        <v/>
      </c>
      <c r="E26" s="2" t="n"/>
      <c r="F26" s="6">
        <f>IF(C26="","",C26/MAX($C$11:$C$110))</f>
        <v/>
      </c>
    </row>
    <row r="27">
      <c r="A27" s="6">
        <f>IF('Ввод'!B25="","",'Ввод'!B25)</f>
        <v/>
      </c>
      <c r="B27" s="6">
        <f>IF(A27="","",'Ввод'!F25)</f>
        <v/>
      </c>
      <c r="C27" s="6">
        <f>IF(A27="","",CHOOSE('Ввод'!$B$6,1,IF(A27&gt;0,1/A27,NA()),IF(A27&gt;0,1/A27^2,NA())))</f>
        <v/>
      </c>
      <c r="D27" s="6">
        <f>IF(A27="","",C27*B27)</f>
        <v/>
      </c>
      <c r="E27" s="2" t="n"/>
      <c r="F27" s="6">
        <f>IF(C27="","",C27/MAX($C$11:$C$110))</f>
        <v/>
      </c>
    </row>
    <row r="28">
      <c r="A28" s="6">
        <f>IF('Ввод'!B26="","",'Ввод'!B26)</f>
        <v/>
      </c>
      <c r="B28" s="6">
        <f>IF(A28="","",'Ввод'!F26)</f>
        <v/>
      </c>
      <c r="C28" s="6">
        <f>IF(A28="","",CHOOSE('Ввод'!$B$6,1,IF(A28&gt;0,1/A28,NA()),IF(A28&gt;0,1/A28^2,NA())))</f>
        <v/>
      </c>
      <c r="D28" s="6">
        <f>IF(A28="","",C28*B28)</f>
        <v/>
      </c>
      <c r="E28" s="2" t="n"/>
      <c r="F28" s="6">
        <f>IF(C28="","",C28/MAX($C$11:$C$110))</f>
        <v/>
      </c>
    </row>
    <row r="29">
      <c r="A29" s="6">
        <f>IF('Ввод'!B27="","",'Ввод'!B27)</f>
        <v/>
      </c>
      <c r="B29" s="6">
        <f>IF(A29="","",'Ввод'!F27)</f>
        <v/>
      </c>
      <c r="C29" s="6">
        <f>IF(A29="","",CHOOSE('Ввод'!$B$6,1,IF(A29&gt;0,1/A29,NA()),IF(A29&gt;0,1/A29^2,NA())))</f>
        <v/>
      </c>
      <c r="D29" s="6">
        <f>IF(A29="","",C29*B29)</f>
        <v/>
      </c>
      <c r="E29" s="2" t="n"/>
      <c r="F29" s="6">
        <f>IF(C29="","",C29/MAX($C$11:$C$110))</f>
        <v/>
      </c>
    </row>
    <row r="30">
      <c r="A30" s="6">
        <f>IF('Ввод'!B28="","",'Ввод'!B28)</f>
        <v/>
      </c>
      <c r="B30" s="6">
        <f>IF(A30="","",'Ввод'!F28)</f>
        <v/>
      </c>
      <c r="C30" s="6">
        <f>IF(A30="","",CHOOSE('Ввод'!$B$6,1,IF(A30&gt;0,1/A30,NA()),IF(A30&gt;0,1/A30^2,NA())))</f>
        <v/>
      </c>
      <c r="D30" s="6">
        <f>IF(A30="","",C30*B30)</f>
        <v/>
      </c>
      <c r="E30" s="2" t="n"/>
      <c r="F30" s="6">
        <f>IF(C30="","",C30/MAX($C$11:$C$110))</f>
        <v/>
      </c>
    </row>
    <row r="31">
      <c r="A31" s="6">
        <f>IF('Ввод'!B29="","",'Ввод'!B29)</f>
        <v/>
      </c>
      <c r="B31" s="6">
        <f>IF(A31="","",'Ввод'!F29)</f>
        <v/>
      </c>
      <c r="C31" s="6">
        <f>IF(A31="","",CHOOSE('Ввод'!$B$6,1,IF(A31&gt;0,1/A31,NA()),IF(A31&gt;0,1/A31^2,NA())))</f>
        <v/>
      </c>
      <c r="D31" s="6">
        <f>IF(A31="","",C31*B31)</f>
        <v/>
      </c>
      <c r="E31" s="2" t="n"/>
      <c r="F31" s="6">
        <f>IF(C31="","",C31/MAX($C$11:$C$110))</f>
        <v/>
      </c>
    </row>
    <row r="32">
      <c r="A32" s="6">
        <f>IF('Ввод'!B30="","",'Ввод'!B30)</f>
        <v/>
      </c>
      <c r="B32" s="6">
        <f>IF(A32="","",'Ввод'!F30)</f>
        <v/>
      </c>
      <c r="C32" s="6">
        <f>IF(A32="","",CHOOSE('Ввод'!$B$6,1,IF(A32&gt;0,1/A32,NA()),IF(A32&gt;0,1/A32^2,NA())))</f>
        <v/>
      </c>
      <c r="D32" s="6">
        <f>IF(A32="","",C32*B32)</f>
        <v/>
      </c>
      <c r="E32" s="2" t="n"/>
      <c r="F32" s="6">
        <f>IF(C32="","",C32/MAX($C$11:$C$110))</f>
        <v/>
      </c>
    </row>
    <row r="33">
      <c r="A33" s="6">
        <f>IF('Ввод'!B31="","",'Ввод'!B31)</f>
        <v/>
      </c>
      <c r="B33" s="6">
        <f>IF(A33="","",'Ввод'!F31)</f>
        <v/>
      </c>
      <c r="C33" s="6">
        <f>IF(A33="","",CHOOSE('Ввод'!$B$6,1,IF(A33&gt;0,1/A33,NA()),IF(A33&gt;0,1/A33^2,NA())))</f>
        <v/>
      </c>
      <c r="D33" s="6">
        <f>IF(A33="","",C33*B33)</f>
        <v/>
      </c>
      <c r="E33" s="2" t="n"/>
      <c r="F33" s="6">
        <f>IF(C33="","",C33/MAX($C$11:$C$110))</f>
        <v/>
      </c>
    </row>
    <row r="34">
      <c r="A34" s="6">
        <f>IF('Ввод'!B32="","",'Ввод'!B32)</f>
        <v/>
      </c>
      <c r="B34" s="6">
        <f>IF(A34="","",'Ввод'!F32)</f>
        <v/>
      </c>
      <c r="C34" s="6">
        <f>IF(A34="","",CHOOSE('Ввод'!$B$6,1,IF(A34&gt;0,1/A34,NA()),IF(A34&gt;0,1/A34^2,NA())))</f>
        <v/>
      </c>
      <c r="D34" s="6">
        <f>IF(A34="","",C34*B34)</f>
        <v/>
      </c>
      <c r="E34" s="2" t="n"/>
      <c r="F34" s="6">
        <f>IF(C34="","",C34/MAX($C$11:$C$110))</f>
        <v/>
      </c>
    </row>
    <row r="35">
      <c r="A35" s="6">
        <f>IF('Ввод'!B33="","",'Ввод'!B33)</f>
        <v/>
      </c>
      <c r="B35" s="6">
        <f>IF(A35="","",'Ввод'!F33)</f>
        <v/>
      </c>
      <c r="C35" s="6">
        <f>IF(A35="","",CHOOSE('Ввод'!$B$6,1,IF(A35&gt;0,1/A35,NA()),IF(A35&gt;0,1/A35^2,NA())))</f>
        <v/>
      </c>
      <c r="D35" s="6">
        <f>IF(A35="","",C35*B35)</f>
        <v/>
      </c>
      <c r="E35" s="2" t="n"/>
      <c r="F35" s="6">
        <f>IF(C35="","",C35/MAX($C$11:$C$110))</f>
        <v/>
      </c>
    </row>
    <row r="36">
      <c r="A36" s="6">
        <f>IF('Ввод'!B34="","",'Ввод'!B34)</f>
        <v/>
      </c>
      <c r="B36" s="6">
        <f>IF(A36="","",'Ввод'!F34)</f>
        <v/>
      </c>
      <c r="C36" s="6">
        <f>IF(A36="","",CHOOSE('Ввод'!$B$6,1,IF(A36&gt;0,1/A36,NA()),IF(A36&gt;0,1/A36^2,NA())))</f>
        <v/>
      </c>
      <c r="D36" s="6">
        <f>IF(A36="","",C36*B36)</f>
        <v/>
      </c>
      <c r="E36" s="2" t="n"/>
      <c r="F36" s="6">
        <f>IF(C36="","",C36/MAX($C$11:$C$110))</f>
        <v/>
      </c>
    </row>
    <row r="37">
      <c r="A37" s="6">
        <f>IF('Ввод'!B35="","",'Ввод'!B35)</f>
        <v/>
      </c>
      <c r="B37" s="6">
        <f>IF(A37="","",'Ввод'!F35)</f>
        <v/>
      </c>
      <c r="C37" s="6">
        <f>IF(A37="","",CHOOSE('Ввод'!$B$6,1,IF(A37&gt;0,1/A37,NA()),IF(A37&gt;0,1/A37^2,NA())))</f>
        <v/>
      </c>
      <c r="D37" s="6">
        <f>IF(A37="","",C37*B37)</f>
        <v/>
      </c>
      <c r="E37" s="2" t="n"/>
      <c r="F37" s="6">
        <f>IF(C37="","",C37/MAX($C$11:$C$110))</f>
        <v/>
      </c>
    </row>
    <row r="38">
      <c r="A38" s="6">
        <f>IF('Ввод'!B36="","",'Ввод'!B36)</f>
        <v/>
      </c>
      <c r="B38" s="6">
        <f>IF(A38="","",'Ввод'!F36)</f>
        <v/>
      </c>
      <c r="C38" s="6">
        <f>IF(A38="","",CHOOSE('Ввод'!$B$6,1,IF(A38&gt;0,1/A38,NA()),IF(A38&gt;0,1/A38^2,NA())))</f>
        <v/>
      </c>
      <c r="D38" s="6">
        <f>IF(A38="","",C38*B38)</f>
        <v/>
      </c>
      <c r="E38" s="2" t="n"/>
      <c r="F38" s="6">
        <f>IF(C38="","",C38/MAX($C$11:$C$110))</f>
        <v/>
      </c>
    </row>
    <row r="39">
      <c r="A39" s="6">
        <f>IF('Ввод'!B37="","",'Ввод'!B37)</f>
        <v/>
      </c>
      <c r="B39" s="6">
        <f>IF(A39="","",'Ввод'!F37)</f>
        <v/>
      </c>
      <c r="C39" s="6">
        <f>IF(A39="","",CHOOSE('Ввод'!$B$6,1,IF(A39&gt;0,1/A39,NA()),IF(A39&gt;0,1/A39^2,NA())))</f>
        <v/>
      </c>
      <c r="D39" s="6">
        <f>IF(A39="","",C39*B39)</f>
        <v/>
      </c>
      <c r="E39" s="2" t="n"/>
      <c r="F39" s="6">
        <f>IF(C39="","",C39/MAX($C$11:$C$110))</f>
        <v/>
      </c>
    </row>
    <row r="40">
      <c r="A40" s="6">
        <f>IF('Ввод'!B38="","",'Ввод'!B38)</f>
        <v/>
      </c>
      <c r="B40" s="6">
        <f>IF(A40="","",'Ввод'!F38)</f>
        <v/>
      </c>
      <c r="C40" s="6">
        <f>IF(A40="","",CHOOSE('Ввод'!$B$6,1,IF(A40&gt;0,1/A40,NA()),IF(A40&gt;0,1/A40^2,NA())))</f>
        <v/>
      </c>
      <c r="D40" s="6">
        <f>IF(A40="","",C40*B40)</f>
        <v/>
      </c>
      <c r="E40" s="2" t="n"/>
      <c r="F40" s="6">
        <f>IF(C40="","",C40/MAX($C$11:$C$110))</f>
        <v/>
      </c>
    </row>
    <row r="41">
      <c r="A41" s="6">
        <f>IF('Ввод'!B39="","",'Ввод'!B39)</f>
        <v/>
      </c>
      <c r="B41" s="6">
        <f>IF(A41="","",'Ввод'!F39)</f>
        <v/>
      </c>
      <c r="C41" s="6">
        <f>IF(A41="","",CHOOSE('Ввод'!$B$6,1,IF(A41&gt;0,1/A41,NA()),IF(A41&gt;0,1/A41^2,NA())))</f>
        <v/>
      </c>
      <c r="D41" s="6">
        <f>IF(A41="","",C41*B41)</f>
        <v/>
      </c>
      <c r="E41" s="2" t="n"/>
      <c r="F41" s="6">
        <f>IF(C41="","",C41/MAX($C$11:$C$110))</f>
        <v/>
      </c>
    </row>
    <row r="42">
      <c r="A42" s="6">
        <f>IF('Ввод'!B40="","",'Ввод'!B40)</f>
        <v/>
      </c>
      <c r="B42" s="6">
        <f>IF(A42="","",'Ввод'!F40)</f>
        <v/>
      </c>
      <c r="C42" s="6">
        <f>IF(A42="","",CHOOSE('Ввод'!$B$6,1,IF(A42&gt;0,1/A42,NA()),IF(A42&gt;0,1/A42^2,NA())))</f>
        <v/>
      </c>
      <c r="D42" s="6">
        <f>IF(A42="","",C42*B42)</f>
        <v/>
      </c>
      <c r="E42" s="2" t="n"/>
      <c r="F42" s="6">
        <f>IF(C42="","",C42/MAX($C$11:$C$110))</f>
        <v/>
      </c>
    </row>
    <row r="43">
      <c r="A43" s="6">
        <f>IF('Ввод'!B41="","",'Ввод'!B41)</f>
        <v/>
      </c>
      <c r="B43" s="6">
        <f>IF(A43="","",'Ввод'!F41)</f>
        <v/>
      </c>
      <c r="C43" s="6">
        <f>IF(A43="","",CHOOSE('Ввод'!$B$6,1,IF(A43&gt;0,1/A43,NA()),IF(A43&gt;0,1/A43^2,NA())))</f>
        <v/>
      </c>
      <c r="D43" s="6">
        <f>IF(A43="","",C43*B43)</f>
        <v/>
      </c>
      <c r="E43" s="2" t="n"/>
      <c r="F43" s="6">
        <f>IF(C43="","",C43/MAX($C$11:$C$110))</f>
        <v/>
      </c>
    </row>
    <row r="44">
      <c r="A44" s="6">
        <f>IF('Ввод'!B42="","",'Ввод'!B42)</f>
        <v/>
      </c>
      <c r="B44" s="6">
        <f>IF(A44="","",'Ввод'!F42)</f>
        <v/>
      </c>
      <c r="C44" s="6">
        <f>IF(A44="","",CHOOSE('Ввод'!$B$6,1,IF(A44&gt;0,1/A44,NA()),IF(A44&gt;0,1/A44^2,NA())))</f>
        <v/>
      </c>
      <c r="D44" s="6">
        <f>IF(A44="","",C44*B44)</f>
        <v/>
      </c>
      <c r="E44" s="2" t="n"/>
      <c r="F44" s="6">
        <f>IF(C44="","",C44/MAX($C$11:$C$110))</f>
        <v/>
      </c>
    </row>
    <row r="45">
      <c r="A45" s="6">
        <f>IF('Ввод'!B43="","",'Ввод'!B43)</f>
        <v/>
      </c>
      <c r="B45" s="6">
        <f>IF(A45="","",'Ввод'!F43)</f>
        <v/>
      </c>
      <c r="C45" s="6">
        <f>IF(A45="","",CHOOSE('Ввод'!$B$6,1,IF(A45&gt;0,1/A45,NA()),IF(A45&gt;0,1/A45^2,NA())))</f>
        <v/>
      </c>
      <c r="D45" s="6">
        <f>IF(A45="","",C45*B45)</f>
        <v/>
      </c>
      <c r="E45" s="2" t="n"/>
      <c r="F45" s="6">
        <f>IF(C45="","",C45/MAX($C$11:$C$110))</f>
        <v/>
      </c>
    </row>
    <row r="46">
      <c r="A46" s="6">
        <f>IF('Ввод'!B44="","",'Ввод'!B44)</f>
        <v/>
      </c>
      <c r="B46" s="6">
        <f>IF(A46="","",'Ввод'!F44)</f>
        <v/>
      </c>
      <c r="C46" s="6">
        <f>IF(A46="","",CHOOSE('Ввод'!$B$6,1,IF(A46&gt;0,1/A46,NA()),IF(A46&gt;0,1/A46^2,NA())))</f>
        <v/>
      </c>
      <c r="D46" s="6">
        <f>IF(A46="","",C46*B46)</f>
        <v/>
      </c>
      <c r="E46" s="2" t="n"/>
      <c r="F46" s="6">
        <f>IF(C46="","",C46/MAX($C$11:$C$110))</f>
        <v/>
      </c>
    </row>
    <row r="47">
      <c r="A47" s="6">
        <f>IF('Ввод'!B45="","",'Ввод'!B45)</f>
        <v/>
      </c>
      <c r="B47" s="6">
        <f>IF(A47="","",'Ввод'!F45)</f>
        <v/>
      </c>
      <c r="C47" s="6">
        <f>IF(A47="","",CHOOSE('Ввод'!$B$6,1,IF(A47&gt;0,1/A47,NA()),IF(A47&gt;0,1/A47^2,NA())))</f>
        <v/>
      </c>
      <c r="D47" s="6">
        <f>IF(A47="","",C47*B47)</f>
        <v/>
      </c>
      <c r="E47" s="2" t="n"/>
      <c r="F47" s="6">
        <f>IF(C47="","",C47/MAX($C$11:$C$110))</f>
        <v/>
      </c>
    </row>
    <row r="48">
      <c r="A48" s="6">
        <f>IF('Ввод'!B46="","",'Ввод'!B46)</f>
        <v/>
      </c>
      <c r="B48" s="6">
        <f>IF(A48="","",'Ввод'!F46)</f>
        <v/>
      </c>
      <c r="C48" s="6">
        <f>IF(A48="","",CHOOSE('Ввод'!$B$6,1,IF(A48&gt;0,1/A48,NA()),IF(A48&gt;0,1/A48^2,NA())))</f>
        <v/>
      </c>
      <c r="D48" s="6">
        <f>IF(A48="","",C48*B48)</f>
        <v/>
      </c>
      <c r="E48" s="2" t="n"/>
      <c r="F48" s="6">
        <f>IF(C48="","",C48/MAX($C$11:$C$110))</f>
        <v/>
      </c>
    </row>
    <row r="49">
      <c r="A49" s="6">
        <f>IF('Ввод'!B47="","",'Ввод'!B47)</f>
        <v/>
      </c>
      <c r="B49" s="6">
        <f>IF(A49="","",'Ввод'!F47)</f>
        <v/>
      </c>
      <c r="C49" s="6">
        <f>IF(A49="","",CHOOSE('Ввод'!$B$6,1,IF(A49&gt;0,1/A49,NA()),IF(A49&gt;0,1/A49^2,NA())))</f>
        <v/>
      </c>
      <c r="D49" s="6">
        <f>IF(A49="","",C49*B49)</f>
        <v/>
      </c>
      <c r="E49" s="2" t="n"/>
      <c r="F49" s="6">
        <f>IF(C49="","",C49/MAX($C$11:$C$110))</f>
        <v/>
      </c>
    </row>
    <row r="50">
      <c r="A50" s="6">
        <f>IF('Ввод'!B48="","",'Ввод'!B48)</f>
        <v/>
      </c>
      <c r="B50" s="6">
        <f>IF(A50="","",'Ввод'!F48)</f>
        <v/>
      </c>
      <c r="C50" s="6">
        <f>IF(A50="","",CHOOSE('Ввод'!$B$6,1,IF(A50&gt;0,1/A50,NA()),IF(A50&gt;0,1/A50^2,NA())))</f>
        <v/>
      </c>
      <c r="D50" s="6">
        <f>IF(A50="","",C50*B50)</f>
        <v/>
      </c>
      <c r="E50" s="2" t="n"/>
      <c r="F50" s="6">
        <f>IF(C50="","",C50/MAX($C$11:$C$110))</f>
        <v/>
      </c>
    </row>
    <row r="51">
      <c r="A51" s="6">
        <f>IF('Ввод'!B49="","",'Ввод'!B49)</f>
        <v/>
      </c>
      <c r="B51" s="6">
        <f>IF(A51="","",'Ввод'!F49)</f>
        <v/>
      </c>
      <c r="C51" s="6">
        <f>IF(A51="","",CHOOSE('Ввод'!$B$6,1,IF(A51&gt;0,1/A51,NA()),IF(A51&gt;0,1/A51^2,NA())))</f>
        <v/>
      </c>
      <c r="D51" s="6">
        <f>IF(A51="","",C51*B51)</f>
        <v/>
      </c>
      <c r="E51" s="2" t="n"/>
      <c r="F51" s="6">
        <f>IF(C51="","",C51/MAX($C$11:$C$110))</f>
        <v/>
      </c>
    </row>
    <row r="52">
      <c r="A52" s="6">
        <f>IF('Ввод'!B50="","",'Ввод'!B50)</f>
        <v/>
      </c>
      <c r="B52" s="6">
        <f>IF(A52="","",'Ввод'!F50)</f>
        <v/>
      </c>
      <c r="C52" s="6">
        <f>IF(A52="","",CHOOSE('Ввод'!$B$6,1,IF(A52&gt;0,1/A52,NA()),IF(A52&gt;0,1/A52^2,NA())))</f>
        <v/>
      </c>
      <c r="D52" s="6">
        <f>IF(A52="","",C52*B52)</f>
        <v/>
      </c>
      <c r="E52" s="2" t="n"/>
      <c r="F52" s="6">
        <f>IF(C52="","",C52/MAX($C$11:$C$110))</f>
        <v/>
      </c>
    </row>
    <row r="53">
      <c r="A53" s="6">
        <f>IF('Ввод'!B51="","",'Ввод'!B51)</f>
        <v/>
      </c>
      <c r="B53" s="6">
        <f>IF(A53="","",'Ввод'!F51)</f>
        <v/>
      </c>
      <c r="C53" s="6">
        <f>IF(A53="","",CHOOSE('Ввод'!$B$6,1,IF(A53&gt;0,1/A53,NA()),IF(A53&gt;0,1/A53^2,NA())))</f>
        <v/>
      </c>
      <c r="D53" s="6">
        <f>IF(A53="","",C53*B53)</f>
        <v/>
      </c>
      <c r="E53" s="2" t="n"/>
      <c r="F53" s="6">
        <f>IF(C53="","",C53/MAX($C$11:$C$110))</f>
        <v/>
      </c>
    </row>
    <row r="54">
      <c r="A54" s="6">
        <f>IF('Ввод'!B52="","",'Ввод'!B52)</f>
        <v/>
      </c>
      <c r="B54" s="6">
        <f>IF(A54="","",'Ввод'!F52)</f>
        <v/>
      </c>
      <c r="C54" s="6">
        <f>IF(A54="","",CHOOSE('Ввод'!$B$6,1,IF(A54&gt;0,1/A54,NA()),IF(A54&gt;0,1/A54^2,NA())))</f>
        <v/>
      </c>
      <c r="D54" s="6">
        <f>IF(A54="","",C54*B54)</f>
        <v/>
      </c>
      <c r="E54" s="2" t="n"/>
      <c r="F54" s="6">
        <f>IF(C54="","",C54/MAX($C$11:$C$110))</f>
        <v/>
      </c>
    </row>
    <row r="55">
      <c r="A55" s="6">
        <f>IF('Ввод'!B53="","",'Ввод'!B53)</f>
        <v/>
      </c>
      <c r="B55" s="6">
        <f>IF(A55="","",'Ввод'!F53)</f>
        <v/>
      </c>
      <c r="C55" s="6">
        <f>IF(A55="","",CHOOSE('Ввод'!$B$6,1,IF(A55&gt;0,1/A55,NA()),IF(A55&gt;0,1/A55^2,NA())))</f>
        <v/>
      </c>
      <c r="D55" s="6">
        <f>IF(A55="","",C55*B55)</f>
        <v/>
      </c>
      <c r="E55" s="2" t="n"/>
      <c r="F55" s="6">
        <f>IF(C55="","",C55/MAX($C$11:$C$110))</f>
        <v/>
      </c>
    </row>
    <row r="56">
      <c r="A56" s="6">
        <f>IF('Ввод'!B54="","",'Ввод'!B54)</f>
        <v/>
      </c>
      <c r="B56" s="6">
        <f>IF(A56="","",'Ввод'!F54)</f>
        <v/>
      </c>
      <c r="C56" s="6">
        <f>IF(A56="","",CHOOSE('Ввод'!$B$6,1,IF(A56&gt;0,1/A56,NA()),IF(A56&gt;0,1/A56^2,NA())))</f>
        <v/>
      </c>
      <c r="D56" s="6">
        <f>IF(A56="","",C56*B56)</f>
        <v/>
      </c>
      <c r="E56" s="2" t="n"/>
      <c r="F56" s="6">
        <f>IF(C56="","",C56/MAX($C$11:$C$110))</f>
        <v/>
      </c>
    </row>
    <row r="57">
      <c r="A57" s="6">
        <f>IF('Ввод'!B55="","",'Ввод'!B55)</f>
        <v/>
      </c>
      <c r="B57" s="6">
        <f>IF(A57="","",'Ввод'!F55)</f>
        <v/>
      </c>
      <c r="C57" s="6">
        <f>IF(A57="","",CHOOSE('Ввод'!$B$6,1,IF(A57&gt;0,1/A57,NA()),IF(A57&gt;0,1/A57^2,NA())))</f>
        <v/>
      </c>
      <c r="D57" s="6">
        <f>IF(A57="","",C57*B57)</f>
        <v/>
      </c>
      <c r="E57" s="2" t="n"/>
      <c r="F57" s="6">
        <f>IF(C57="","",C57/MAX($C$11:$C$110))</f>
        <v/>
      </c>
    </row>
    <row r="58">
      <c r="A58" s="6">
        <f>IF('Ввод'!B56="","",'Ввод'!B56)</f>
        <v/>
      </c>
      <c r="B58" s="6">
        <f>IF(A58="","",'Ввод'!F56)</f>
        <v/>
      </c>
      <c r="C58" s="6">
        <f>IF(A58="","",CHOOSE('Ввод'!$B$6,1,IF(A58&gt;0,1/A58,NA()),IF(A58&gt;0,1/A58^2,NA())))</f>
        <v/>
      </c>
      <c r="D58" s="6">
        <f>IF(A58="","",C58*B58)</f>
        <v/>
      </c>
      <c r="E58" s="2" t="n"/>
      <c r="F58" s="6">
        <f>IF(C58="","",C58/MAX($C$11:$C$110))</f>
        <v/>
      </c>
    </row>
    <row r="59">
      <c r="A59" s="6">
        <f>IF('Ввод'!B57="","",'Ввод'!B57)</f>
        <v/>
      </c>
      <c r="B59" s="6">
        <f>IF(A59="","",'Ввод'!F57)</f>
        <v/>
      </c>
      <c r="C59" s="6">
        <f>IF(A59="","",CHOOSE('Ввод'!$B$6,1,IF(A59&gt;0,1/A59,NA()),IF(A59&gt;0,1/A59^2,NA())))</f>
        <v/>
      </c>
      <c r="D59" s="6">
        <f>IF(A59="","",C59*B59)</f>
        <v/>
      </c>
      <c r="E59" s="2" t="n"/>
      <c r="F59" s="6">
        <f>IF(C59="","",C59/MAX($C$11:$C$110))</f>
        <v/>
      </c>
    </row>
    <row r="60">
      <c r="A60" s="6">
        <f>IF('Ввод'!B58="","",'Ввод'!B58)</f>
        <v/>
      </c>
      <c r="B60" s="6">
        <f>IF(A60="","",'Ввод'!F58)</f>
        <v/>
      </c>
      <c r="C60" s="6">
        <f>IF(A60="","",CHOOSE('Ввод'!$B$6,1,IF(A60&gt;0,1/A60,NA()),IF(A60&gt;0,1/A60^2,NA())))</f>
        <v/>
      </c>
      <c r="D60" s="6">
        <f>IF(A60="","",C60*B60)</f>
        <v/>
      </c>
      <c r="E60" s="2" t="n"/>
      <c r="F60" s="6">
        <f>IF(C60="","",C60/MAX($C$11:$C$110))</f>
        <v/>
      </c>
    </row>
    <row r="61">
      <c r="A61" s="6">
        <f>IF('Ввод'!B59="","",'Ввод'!B59)</f>
        <v/>
      </c>
      <c r="B61" s="6">
        <f>IF(A61="","",'Ввод'!F59)</f>
        <v/>
      </c>
      <c r="C61" s="6">
        <f>IF(A61="","",CHOOSE('Ввод'!$B$6,1,IF(A61&gt;0,1/A61,NA()),IF(A61&gt;0,1/A61^2,NA())))</f>
        <v/>
      </c>
      <c r="D61" s="6">
        <f>IF(A61="","",C61*B61)</f>
        <v/>
      </c>
      <c r="E61" s="2" t="n"/>
      <c r="F61" s="6">
        <f>IF(C61="","",C61/MAX($C$11:$C$110))</f>
        <v/>
      </c>
    </row>
    <row r="62">
      <c r="A62" s="6">
        <f>IF('Ввод'!B60="","",'Ввод'!B60)</f>
        <v/>
      </c>
      <c r="B62" s="6">
        <f>IF(A62="","",'Ввод'!F60)</f>
        <v/>
      </c>
      <c r="C62" s="6">
        <f>IF(A62="","",CHOOSE('Ввод'!$B$6,1,IF(A62&gt;0,1/A62,NA()),IF(A62&gt;0,1/A62^2,NA())))</f>
        <v/>
      </c>
      <c r="D62" s="6">
        <f>IF(A62="","",C62*B62)</f>
        <v/>
      </c>
      <c r="E62" s="2" t="n"/>
      <c r="F62" s="6">
        <f>IF(C62="","",C62/MAX($C$11:$C$110))</f>
        <v/>
      </c>
    </row>
    <row r="63">
      <c r="A63" s="6">
        <f>IF('Ввод'!B61="","",'Ввод'!B61)</f>
        <v/>
      </c>
      <c r="B63" s="6">
        <f>IF(A63="","",'Ввод'!F61)</f>
        <v/>
      </c>
      <c r="C63" s="6">
        <f>IF(A63="","",CHOOSE('Ввод'!$B$6,1,IF(A63&gt;0,1/A63,NA()),IF(A63&gt;0,1/A63^2,NA())))</f>
        <v/>
      </c>
      <c r="D63" s="6">
        <f>IF(A63="","",C63*B63)</f>
        <v/>
      </c>
      <c r="E63" s="2" t="n"/>
      <c r="F63" s="6">
        <f>IF(C63="","",C63/MAX($C$11:$C$110))</f>
        <v/>
      </c>
    </row>
    <row r="64">
      <c r="A64" s="6">
        <f>IF('Ввод'!B62="","",'Ввод'!B62)</f>
        <v/>
      </c>
      <c r="B64" s="6">
        <f>IF(A64="","",'Ввод'!F62)</f>
        <v/>
      </c>
      <c r="C64" s="6">
        <f>IF(A64="","",CHOOSE('Ввод'!$B$6,1,IF(A64&gt;0,1/A64,NA()),IF(A64&gt;0,1/A64^2,NA())))</f>
        <v/>
      </c>
      <c r="D64" s="6">
        <f>IF(A64="","",C64*B64)</f>
        <v/>
      </c>
      <c r="E64" s="2" t="n"/>
      <c r="F64" s="6">
        <f>IF(C64="","",C64/MAX($C$11:$C$110))</f>
        <v/>
      </c>
    </row>
    <row r="65">
      <c r="A65" s="6">
        <f>IF('Ввод'!B63="","",'Ввод'!B63)</f>
        <v/>
      </c>
      <c r="B65" s="6">
        <f>IF(A65="","",'Ввод'!F63)</f>
        <v/>
      </c>
      <c r="C65" s="6">
        <f>IF(A65="","",CHOOSE('Ввод'!$B$6,1,IF(A65&gt;0,1/A65,NA()),IF(A65&gt;0,1/A65^2,NA())))</f>
        <v/>
      </c>
      <c r="D65" s="6">
        <f>IF(A65="","",C65*B65)</f>
        <v/>
      </c>
      <c r="E65" s="2" t="n"/>
      <c r="F65" s="6">
        <f>IF(C65="","",C65/MAX($C$11:$C$110))</f>
        <v/>
      </c>
    </row>
    <row r="66">
      <c r="A66" s="6">
        <f>IF('Ввод'!B64="","",'Ввод'!B64)</f>
        <v/>
      </c>
      <c r="B66" s="6">
        <f>IF(A66="","",'Ввод'!F64)</f>
        <v/>
      </c>
      <c r="C66" s="6">
        <f>IF(A66="","",CHOOSE('Ввод'!$B$6,1,IF(A66&gt;0,1/A66,NA()),IF(A66&gt;0,1/A66^2,NA())))</f>
        <v/>
      </c>
      <c r="D66" s="6">
        <f>IF(A66="","",C66*B66)</f>
        <v/>
      </c>
      <c r="E66" s="2" t="n"/>
      <c r="F66" s="6">
        <f>IF(C66="","",C66/MAX($C$11:$C$110))</f>
        <v/>
      </c>
    </row>
    <row r="67">
      <c r="A67" s="6">
        <f>IF('Ввод'!B65="","",'Ввод'!B65)</f>
        <v/>
      </c>
      <c r="B67" s="6">
        <f>IF(A67="","",'Ввод'!F65)</f>
        <v/>
      </c>
      <c r="C67" s="6">
        <f>IF(A67="","",CHOOSE('Ввод'!$B$6,1,IF(A67&gt;0,1/A67,NA()),IF(A67&gt;0,1/A67^2,NA())))</f>
        <v/>
      </c>
      <c r="D67" s="6">
        <f>IF(A67="","",C67*B67)</f>
        <v/>
      </c>
      <c r="E67" s="2" t="n"/>
      <c r="F67" s="6">
        <f>IF(C67="","",C67/MAX($C$11:$C$110))</f>
        <v/>
      </c>
    </row>
    <row r="68">
      <c r="A68" s="6">
        <f>IF('Ввод'!B66="","",'Ввод'!B66)</f>
        <v/>
      </c>
      <c r="B68" s="6">
        <f>IF(A68="","",'Ввод'!F66)</f>
        <v/>
      </c>
      <c r="C68" s="6">
        <f>IF(A68="","",CHOOSE('Ввод'!$B$6,1,IF(A68&gt;0,1/A68,NA()),IF(A68&gt;0,1/A68^2,NA())))</f>
        <v/>
      </c>
      <c r="D68" s="6">
        <f>IF(A68="","",C68*B68)</f>
        <v/>
      </c>
      <c r="E68" s="2" t="n"/>
      <c r="F68" s="6">
        <f>IF(C68="","",C68/MAX($C$11:$C$110))</f>
        <v/>
      </c>
    </row>
    <row r="69">
      <c r="A69" s="6">
        <f>IF('Ввод'!B67="","",'Ввод'!B67)</f>
        <v/>
      </c>
      <c r="B69" s="6">
        <f>IF(A69="","",'Ввод'!F67)</f>
        <v/>
      </c>
      <c r="C69" s="6">
        <f>IF(A69="","",CHOOSE('Ввод'!$B$6,1,IF(A69&gt;0,1/A69,NA()),IF(A69&gt;0,1/A69^2,NA())))</f>
        <v/>
      </c>
      <c r="D69" s="6">
        <f>IF(A69="","",C69*B69)</f>
        <v/>
      </c>
      <c r="E69" s="2" t="n"/>
      <c r="F69" s="6">
        <f>IF(C69="","",C69/MAX($C$11:$C$110))</f>
        <v/>
      </c>
    </row>
    <row r="70">
      <c r="A70" s="6">
        <f>IF('Ввод'!B68="","",'Ввод'!B68)</f>
        <v/>
      </c>
      <c r="B70" s="6">
        <f>IF(A70="","",'Ввод'!F68)</f>
        <v/>
      </c>
      <c r="C70" s="6">
        <f>IF(A70="","",CHOOSE('Ввод'!$B$6,1,IF(A70&gt;0,1/A70,NA()),IF(A70&gt;0,1/A70^2,NA())))</f>
        <v/>
      </c>
      <c r="D70" s="6">
        <f>IF(A70="","",C70*B70)</f>
        <v/>
      </c>
      <c r="E70" s="2" t="n"/>
      <c r="F70" s="6">
        <f>IF(C70="","",C70/MAX($C$11:$C$110))</f>
        <v/>
      </c>
    </row>
    <row r="71">
      <c r="A71" s="6">
        <f>IF('Ввод'!B69="","",'Ввод'!B69)</f>
        <v/>
      </c>
      <c r="B71" s="6">
        <f>IF(A71="","",'Ввод'!F69)</f>
        <v/>
      </c>
      <c r="C71" s="6">
        <f>IF(A71="","",CHOOSE('Ввод'!$B$6,1,IF(A71&gt;0,1/A71,NA()),IF(A71&gt;0,1/A71^2,NA())))</f>
        <v/>
      </c>
      <c r="D71" s="6">
        <f>IF(A71="","",C71*B71)</f>
        <v/>
      </c>
      <c r="E71" s="2" t="n"/>
      <c r="F71" s="6">
        <f>IF(C71="","",C71/MAX($C$11:$C$110))</f>
        <v/>
      </c>
    </row>
    <row r="72">
      <c r="A72" s="6">
        <f>IF('Ввод'!B70="","",'Ввод'!B70)</f>
        <v/>
      </c>
      <c r="B72" s="6">
        <f>IF(A72="","",'Ввод'!F70)</f>
        <v/>
      </c>
      <c r="C72" s="6">
        <f>IF(A72="","",CHOOSE('Ввод'!$B$6,1,IF(A72&gt;0,1/A72,NA()),IF(A72&gt;0,1/A72^2,NA())))</f>
        <v/>
      </c>
      <c r="D72" s="6">
        <f>IF(A72="","",C72*B72)</f>
        <v/>
      </c>
      <c r="E72" s="2" t="n"/>
      <c r="F72" s="6">
        <f>IF(C72="","",C72/MAX($C$11:$C$110))</f>
        <v/>
      </c>
    </row>
    <row r="73">
      <c r="A73" s="6">
        <f>IF('Ввод'!B71="","",'Ввод'!B71)</f>
        <v/>
      </c>
      <c r="B73" s="6">
        <f>IF(A73="","",'Ввод'!F71)</f>
        <v/>
      </c>
      <c r="C73" s="6">
        <f>IF(A73="","",CHOOSE('Ввод'!$B$6,1,IF(A73&gt;0,1/A73,NA()),IF(A73&gt;0,1/A73^2,NA())))</f>
        <v/>
      </c>
      <c r="D73" s="6">
        <f>IF(A73="","",C73*B73)</f>
        <v/>
      </c>
      <c r="E73" s="2" t="n"/>
      <c r="F73" s="6">
        <f>IF(C73="","",C73/MAX($C$11:$C$110))</f>
        <v/>
      </c>
    </row>
    <row r="74">
      <c r="A74" s="6">
        <f>IF('Ввод'!B72="","",'Ввод'!B72)</f>
        <v/>
      </c>
      <c r="B74" s="6">
        <f>IF(A74="","",'Ввод'!F72)</f>
        <v/>
      </c>
      <c r="C74" s="6">
        <f>IF(A74="","",CHOOSE('Ввод'!$B$6,1,IF(A74&gt;0,1/A74,NA()),IF(A74&gt;0,1/A74^2,NA())))</f>
        <v/>
      </c>
      <c r="D74" s="6">
        <f>IF(A74="","",C74*B74)</f>
        <v/>
      </c>
      <c r="E74" s="2" t="n"/>
      <c r="F74" s="6">
        <f>IF(C74="","",C74/MAX($C$11:$C$110))</f>
        <v/>
      </c>
    </row>
    <row r="75">
      <c r="A75" s="6">
        <f>IF('Ввод'!B73="","",'Ввод'!B73)</f>
        <v/>
      </c>
      <c r="B75" s="6">
        <f>IF(A75="","",'Ввод'!F73)</f>
        <v/>
      </c>
      <c r="C75" s="6">
        <f>IF(A75="","",CHOOSE('Ввод'!$B$6,1,IF(A75&gt;0,1/A75,NA()),IF(A75&gt;0,1/A75^2,NA())))</f>
        <v/>
      </c>
      <c r="D75" s="6">
        <f>IF(A75="","",C75*B75)</f>
        <v/>
      </c>
      <c r="E75" s="2" t="n"/>
      <c r="F75" s="6">
        <f>IF(C75="","",C75/MAX($C$11:$C$110))</f>
        <v/>
      </c>
    </row>
    <row r="76">
      <c r="A76" s="6">
        <f>IF('Ввод'!B74="","",'Ввод'!B74)</f>
        <v/>
      </c>
      <c r="B76" s="6">
        <f>IF(A76="","",'Ввод'!F74)</f>
        <v/>
      </c>
      <c r="C76" s="6">
        <f>IF(A76="","",CHOOSE('Ввод'!$B$6,1,IF(A76&gt;0,1/A76,NA()),IF(A76&gt;0,1/A76^2,NA())))</f>
        <v/>
      </c>
      <c r="D76" s="6">
        <f>IF(A76="","",C76*B76)</f>
        <v/>
      </c>
      <c r="E76" s="2" t="n"/>
      <c r="F76" s="6">
        <f>IF(C76="","",C76/MAX($C$11:$C$110))</f>
        <v/>
      </c>
    </row>
    <row r="77">
      <c r="A77" s="6">
        <f>IF('Ввод'!B75="","",'Ввод'!B75)</f>
        <v/>
      </c>
      <c r="B77" s="6">
        <f>IF(A77="","",'Ввод'!F75)</f>
        <v/>
      </c>
      <c r="C77" s="6">
        <f>IF(A77="","",CHOOSE('Ввод'!$B$6,1,IF(A77&gt;0,1/A77,NA()),IF(A77&gt;0,1/A77^2,NA())))</f>
        <v/>
      </c>
      <c r="D77" s="6">
        <f>IF(A77="","",C77*B77)</f>
        <v/>
      </c>
      <c r="E77" s="2" t="n"/>
      <c r="F77" s="6">
        <f>IF(C77="","",C77/MAX($C$11:$C$110))</f>
        <v/>
      </c>
    </row>
    <row r="78">
      <c r="A78" s="6">
        <f>IF('Ввод'!B76="","",'Ввод'!B76)</f>
        <v/>
      </c>
      <c r="B78" s="6">
        <f>IF(A78="","",'Ввод'!F76)</f>
        <v/>
      </c>
      <c r="C78" s="6">
        <f>IF(A78="","",CHOOSE('Ввод'!$B$6,1,IF(A78&gt;0,1/A78,NA()),IF(A78&gt;0,1/A78^2,NA())))</f>
        <v/>
      </c>
      <c r="D78" s="6">
        <f>IF(A78="","",C78*B78)</f>
        <v/>
      </c>
      <c r="E78" s="2" t="n"/>
      <c r="F78" s="6">
        <f>IF(C78="","",C78/MAX($C$11:$C$110))</f>
        <v/>
      </c>
    </row>
    <row r="79">
      <c r="A79" s="6">
        <f>IF('Ввод'!B77="","",'Ввод'!B77)</f>
        <v/>
      </c>
      <c r="B79" s="6">
        <f>IF(A79="","",'Ввод'!F77)</f>
        <v/>
      </c>
      <c r="C79" s="6">
        <f>IF(A79="","",CHOOSE('Ввод'!$B$6,1,IF(A79&gt;0,1/A79,NA()),IF(A79&gt;0,1/A79^2,NA())))</f>
        <v/>
      </c>
      <c r="D79" s="6">
        <f>IF(A79="","",C79*B79)</f>
        <v/>
      </c>
      <c r="E79" s="2" t="n"/>
      <c r="F79" s="6">
        <f>IF(C79="","",C79/MAX($C$11:$C$110))</f>
        <v/>
      </c>
    </row>
    <row r="80">
      <c r="A80" s="6">
        <f>IF('Ввод'!B78="","",'Ввод'!B78)</f>
        <v/>
      </c>
      <c r="B80" s="6">
        <f>IF(A80="","",'Ввод'!F78)</f>
        <v/>
      </c>
      <c r="C80" s="6">
        <f>IF(A80="","",CHOOSE('Ввод'!$B$6,1,IF(A80&gt;0,1/A80,NA()),IF(A80&gt;0,1/A80^2,NA())))</f>
        <v/>
      </c>
      <c r="D80" s="6">
        <f>IF(A80="","",C80*B80)</f>
        <v/>
      </c>
      <c r="E80" s="2" t="n"/>
      <c r="F80" s="6">
        <f>IF(C80="","",C80/MAX($C$11:$C$110))</f>
        <v/>
      </c>
    </row>
    <row r="81">
      <c r="A81" s="6">
        <f>IF('Ввод'!B79="","",'Ввод'!B79)</f>
        <v/>
      </c>
      <c r="B81" s="6">
        <f>IF(A81="","",'Ввод'!F79)</f>
        <v/>
      </c>
      <c r="C81" s="6">
        <f>IF(A81="","",CHOOSE('Ввод'!$B$6,1,IF(A81&gt;0,1/A81,NA()),IF(A81&gt;0,1/A81^2,NA())))</f>
        <v/>
      </c>
      <c r="D81" s="6">
        <f>IF(A81="","",C81*B81)</f>
        <v/>
      </c>
      <c r="E81" s="2" t="n"/>
      <c r="F81" s="6">
        <f>IF(C81="","",C81/MAX($C$11:$C$110))</f>
        <v/>
      </c>
    </row>
    <row r="82">
      <c r="A82" s="6">
        <f>IF('Ввод'!B80="","",'Ввод'!B80)</f>
        <v/>
      </c>
      <c r="B82" s="6">
        <f>IF(A82="","",'Ввод'!F80)</f>
        <v/>
      </c>
      <c r="C82" s="6">
        <f>IF(A82="","",CHOOSE('Ввод'!$B$6,1,IF(A82&gt;0,1/A82,NA()),IF(A82&gt;0,1/A82^2,NA())))</f>
        <v/>
      </c>
      <c r="D82" s="6">
        <f>IF(A82="","",C82*B82)</f>
        <v/>
      </c>
      <c r="E82" s="2" t="n"/>
      <c r="F82" s="6">
        <f>IF(C82="","",C82/MAX($C$11:$C$110))</f>
        <v/>
      </c>
    </row>
    <row r="83">
      <c r="A83" s="6">
        <f>IF('Ввод'!B81="","",'Ввод'!B81)</f>
        <v/>
      </c>
      <c r="B83" s="6">
        <f>IF(A83="","",'Ввод'!F81)</f>
        <v/>
      </c>
      <c r="C83" s="6">
        <f>IF(A83="","",CHOOSE('Ввод'!$B$6,1,IF(A83&gt;0,1/A83,NA()),IF(A83&gt;0,1/A83^2,NA())))</f>
        <v/>
      </c>
      <c r="D83" s="6">
        <f>IF(A83="","",C83*B83)</f>
        <v/>
      </c>
      <c r="E83" s="2" t="n"/>
      <c r="F83" s="6">
        <f>IF(C83="","",C83/MAX($C$11:$C$110))</f>
        <v/>
      </c>
    </row>
    <row r="84">
      <c r="A84" s="6">
        <f>IF('Ввод'!B82="","",'Ввод'!B82)</f>
        <v/>
      </c>
      <c r="B84" s="6">
        <f>IF(A84="","",'Ввод'!F82)</f>
        <v/>
      </c>
      <c r="C84" s="6">
        <f>IF(A84="","",CHOOSE('Ввод'!$B$6,1,IF(A84&gt;0,1/A84,NA()),IF(A84&gt;0,1/A84^2,NA())))</f>
        <v/>
      </c>
      <c r="D84" s="6">
        <f>IF(A84="","",C84*B84)</f>
        <v/>
      </c>
      <c r="E84" s="2" t="n"/>
      <c r="F84" s="6">
        <f>IF(C84="","",C84/MAX($C$11:$C$110))</f>
        <v/>
      </c>
    </row>
    <row r="85">
      <c r="A85" s="6">
        <f>IF('Ввод'!B83="","",'Ввод'!B83)</f>
        <v/>
      </c>
      <c r="B85" s="6">
        <f>IF(A85="","",'Ввод'!F83)</f>
        <v/>
      </c>
      <c r="C85" s="6">
        <f>IF(A85="","",CHOOSE('Ввод'!$B$6,1,IF(A85&gt;0,1/A85,NA()),IF(A85&gt;0,1/A85^2,NA())))</f>
        <v/>
      </c>
      <c r="D85" s="6">
        <f>IF(A85="","",C85*B85)</f>
        <v/>
      </c>
      <c r="E85" s="2" t="n"/>
      <c r="F85" s="6">
        <f>IF(C85="","",C85/MAX($C$11:$C$110))</f>
        <v/>
      </c>
    </row>
    <row r="86">
      <c r="A86" s="6">
        <f>IF('Ввод'!B84="","",'Ввод'!B84)</f>
        <v/>
      </c>
      <c r="B86" s="6">
        <f>IF(A86="","",'Ввод'!F84)</f>
        <v/>
      </c>
      <c r="C86" s="6">
        <f>IF(A86="","",CHOOSE('Ввод'!$B$6,1,IF(A86&gt;0,1/A86,NA()),IF(A86&gt;0,1/A86^2,NA())))</f>
        <v/>
      </c>
      <c r="D86" s="6">
        <f>IF(A86="","",C86*B86)</f>
        <v/>
      </c>
      <c r="E86" s="2" t="n"/>
      <c r="F86" s="6">
        <f>IF(C86="","",C86/MAX($C$11:$C$110))</f>
        <v/>
      </c>
    </row>
    <row r="87">
      <c r="A87" s="6">
        <f>IF('Ввод'!B85="","",'Ввод'!B85)</f>
        <v/>
      </c>
      <c r="B87" s="6">
        <f>IF(A87="","",'Ввод'!F85)</f>
        <v/>
      </c>
      <c r="C87" s="6">
        <f>IF(A87="","",CHOOSE('Ввод'!$B$6,1,IF(A87&gt;0,1/A87,NA()),IF(A87&gt;0,1/A87^2,NA())))</f>
        <v/>
      </c>
      <c r="D87" s="6">
        <f>IF(A87="","",C87*B87)</f>
        <v/>
      </c>
      <c r="E87" s="2" t="n"/>
      <c r="F87" s="6">
        <f>IF(C87="","",C87/MAX($C$11:$C$110))</f>
        <v/>
      </c>
    </row>
    <row r="88">
      <c r="A88" s="6">
        <f>IF('Ввод'!B86="","",'Ввод'!B86)</f>
        <v/>
      </c>
      <c r="B88" s="6">
        <f>IF(A88="","",'Ввод'!F86)</f>
        <v/>
      </c>
      <c r="C88" s="6">
        <f>IF(A88="","",CHOOSE('Ввод'!$B$6,1,IF(A88&gt;0,1/A88,NA()),IF(A88&gt;0,1/A88^2,NA())))</f>
        <v/>
      </c>
      <c r="D88" s="6">
        <f>IF(A88="","",C88*B88)</f>
        <v/>
      </c>
      <c r="E88" s="2" t="n"/>
      <c r="F88" s="6">
        <f>IF(C88="","",C88/MAX($C$11:$C$110))</f>
        <v/>
      </c>
    </row>
    <row r="89">
      <c r="A89" s="6">
        <f>IF('Ввод'!B87="","",'Ввод'!B87)</f>
        <v/>
      </c>
      <c r="B89" s="6">
        <f>IF(A89="","",'Ввод'!F87)</f>
        <v/>
      </c>
      <c r="C89" s="6">
        <f>IF(A89="","",CHOOSE('Ввод'!$B$6,1,IF(A89&gt;0,1/A89,NA()),IF(A89&gt;0,1/A89^2,NA())))</f>
        <v/>
      </c>
      <c r="D89" s="6">
        <f>IF(A89="","",C89*B89)</f>
        <v/>
      </c>
      <c r="E89" s="2" t="n"/>
      <c r="F89" s="6">
        <f>IF(C89="","",C89/MAX($C$11:$C$110))</f>
        <v/>
      </c>
    </row>
    <row r="90">
      <c r="A90" s="6">
        <f>IF('Ввод'!B88="","",'Ввод'!B88)</f>
        <v/>
      </c>
      <c r="B90" s="6">
        <f>IF(A90="","",'Ввод'!F88)</f>
        <v/>
      </c>
      <c r="C90" s="6">
        <f>IF(A90="","",CHOOSE('Ввод'!$B$6,1,IF(A90&gt;0,1/A90,NA()),IF(A90&gt;0,1/A90^2,NA())))</f>
        <v/>
      </c>
      <c r="D90" s="6">
        <f>IF(A90="","",C90*B90)</f>
        <v/>
      </c>
      <c r="E90" s="2" t="n"/>
      <c r="F90" s="6">
        <f>IF(C90="","",C90/MAX($C$11:$C$110))</f>
        <v/>
      </c>
    </row>
    <row r="91">
      <c r="A91" s="6">
        <f>IF('Ввод'!B89="","",'Ввод'!B89)</f>
        <v/>
      </c>
      <c r="B91" s="6">
        <f>IF(A91="","",'Ввод'!F89)</f>
        <v/>
      </c>
      <c r="C91" s="6">
        <f>IF(A91="","",CHOOSE('Ввод'!$B$6,1,IF(A91&gt;0,1/A91,NA()),IF(A91&gt;0,1/A91^2,NA())))</f>
        <v/>
      </c>
      <c r="D91" s="6">
        <f>IF(A91="","",C91*B91)</f>
        <v/>
      </c>
      <c r="E91" s="2" t="n"/>
      <c r="F91" s="6">
        <f>IF(C91="","",C91/MAX($C$11:$C$110))</f>
        <v/>
      </c>
    </row>
    <row r="92">
      <c r="A92" s="6">
        <f>IF('Ввод'!B90="","",'Ввод'!B90)</f>
        <v/>
      </c>
      <c r="B92" s="6">
        <f>IF(A92="","",'Ввод'!F90)</f>
        <v/>
      </c>
      <c r="C92" s="6">
        <f>IF(A92="","",CHOOSE('Ввод'!$B$6,1,IF(A92&gt;0,1/A92,NA()),IF(A92&gt;0,1/A92^2,NA())))</f>
        <v/>
      </c>
      <c r="D92" s="6">
        <f>IF(A92="","",C92*B92)</f>
        <v/>
      </c>
      <c r="E92" s="2" t="n"/>
      <c r="F92" s="6">
        <f>IF(C92="","",C92/MAX($C$11:$C$110))</f>
        <v/>
      </c>
    </row>
    <row r="93">
      <c r="A93" s="6">
        <f>IF('Ввод'!B91="","",'Ввод'!B91)</f>
        <v/>
      </c>
      <c r="B93" s="6">
        <f>IF(A93="","",'Ввод'!F91)</f>
        <v/>
      </c>
      <c r="C93" s="6">
        <f>IF(A93="","",CHOOSE('Ввод'!$B$6,1,IF(A93&gt;0,1/A93,NA()),IF(A93&gt;0,1/A93^2,NA())))</f>
        <v/>
      </c>
      <c r="D93" s="6">
        <f>IF(A93="","",C93*B93)</f>
        <v/>
      </c>
      <c r="E93" s="2" t="n"/>
      <c r="F93" s="6">
        <f>IF(C93="","",C93/MAX($C$11:$C$110))</f>
        <v/>
      </c>
    </row>
    <row r="94">
      <c r="A94" s="6">
        <f>IF('Ввод'!B92="","",'Ввод'!B92)</f>
        <v/>
      </c>
      <c r="B94" s="6">
        <f>IF(A94="","",'Ввод'!F92)</f>
        <v/>
      </c>
      <c r="C94" s="6">
        <f>IF(A94="","",CHOOSE('Ввод'!$B$6,1,IF(A94&gt;0,1/A94,NA()),IF(A94&gt;0,1/A94^2,NA())))</f>
        <v/>
      </c>
      <c r="D94" s="6">
        <f>IF(A94="","",C94*B94)</f>
        <v/>
      </c>
      <c r="E94" s="2" t="n"/>
      <c r="F94" s="6">
        <f>IF(C94="","",C94/MAX($C$11:$C$110))</f>
        <v/>
      </c>
    </row>
    <row r="95">
      <c r="A95" s="6">
        <f>IF('Ввод'!B93="","",'Ввод'!B93)</f>
        <v/>
      </c>
      <c r="B95" s="6">
        <f>IF(A95="","",'Ввод'!F93)</f>
        <v/>
      </c>
      <c r="C95" s="6">
        <f>IF(A95="","",CHOOSE('Ввод'!$B$6,1,IF(A95&gt;0,1/A95,NA()),IF(A95&gt;0,1/A95^2,NA())))</f>
        <v/>
      </c>
      <c r="D95" s="6">
        <f>IF(A95="","",C95*B95)</f>
        <v/>
      </c>
      <c r="E95" s="2" t="n"/>
      <c r="F95" s="6">
        <f>IF(C95="","",C95/MAX($C$11:$C$110))</f>
        <v/>
      </c>
    </row>
    <row r="96">
      <c r="A96" s="6">
        <f>IF('Ввод'!B94="","",'Ввод'!B94)</f>
        <v/>
      </c>
      <c r="B96" s="6">
        <f>IF(A96="","",'Ввод'!F94)</f>
        <v/>
      </c>
      <c r="C96" s="6">
        <f>IF(A96="","",CHOOSE('Ввод'!$B$6,1,IF(A96&gt;0,1/A96,NA()),IF(A96&gt;0,1/A96^2,NA())))</f>
        <v/>
      </c>
      <c r="D96" s="6">
        <f>IF(A96="","",C96*B96)</f>
        <v/>
      </c>
      <c r="E96" s="2" t="n"/>
      <c r="F96" s="6">
        <f>IF(C96="","",C96/MAX($C$11:$C$110))</f>
        <v/>
      </c>
    </row>
    <row r="97">
      <c r="A97" s="6">
        <f>IF('Ввод'!B95="","",'Ввод'!B95)</f>
        <v/>
      </c>
      <c r="B97" s="6">
        <f>IF(A97="","",'Ввод'!F95)</f>
        <v/>
      </c>
      <c r="C97" s="6">
        <f>IF(A97="","",CHOOSE('Ввод'!$B$6,1,IF(A97&gt;0,1/A97,NA()),IF(A97&gt;0,1/A97^2,NA())))</f>
        <v/>
      </c>
      <c r="D97" s="6">
        <f>IF(A97="","",C97*B97)</f>
        <v/>
      </c>
      <c r="E97" s="2" t="n"/>
      <c r="F97" s="6">
        <f>IF(C97="","",C97/MAX($C$11:$C$110))</f>
        <v/>
      </c>
    </row>
    <row r="98">
      <c r="A98" s="6">
        <f>IF('Ввод'!B96="","",'Ввод'!B96)</f>
        <v/>
      </c>
      <c r="B98" s="6">
        <f>IF(A98="","",'Ввод'!F96)</f>
        <v/>
      </c>
      <c r="C98" s="6">
        <f>IF(A98="","",CHOOSE('Ввод'!$B$6,1,IF(A98&gt;0,1/A98,NA()),IF(A98&gt;0,1/A98^2,NA())))</f>
        <v/>
      </c>
      <c r="D98" s="6">
        <f>IF(A98="","",C98*B98)</f>
        <v/>
      </c>
      <c r="E98" s="2" t="n"/>
      <c r="F98" s="6">
        <f>IF(C98="","",C98/MAX($C$11:$C$110))</f>
        <v/>
      </c>
    </row>
    <row r="99">
      <c r="A99" s="6">
        <f>IF('Ввод'!B97="","",'Ввод'!B97)</f>
        <v/>
      </c>
      <c r="B99" s="6">
        <f>IF(A99="","",'Ввод'!F97)</f>
        <v/>
      </c>
      <c r="C99" s="6">
        <f>IF(A99="","",CHOOSE('Ввод'!$B$6,1,IF(A99&gt;0,1/A99,NA()),IF(A99&gt;0,1/A99^2,NA())))</f>
        <v/>
      </c>
      <c r="D99" s="6">
        <f>IF(A99="","",C99*B99)</f>
        <v/>
      </c>
      <c r="E99" s="2" t="n"/>
      <c r="F99" s="6">
        <f>IF(C99="","",C99/MAX($C$11:$C$110))</f>
        <v/>
      </c>
    </row>
    <row r="100">
      <c r="A100" s="6">
        <f>IF('Ввод'!B98="","",'Ввод'!B98)</f>
        <v/>
      </c>
      <c r="B100" s="6">
        <f>IF(A100="","",'Ввод'!F98)</f>
        <v/>
      </c>
      <c r="C100" s="6">
        <f>IF(A100="","",CHOOSE('Ввод'!$B$6,1,IF(A100&gt;0,1/A100,NA()),IF(A100&gt;0,1/A100^2,NA())))</f>
        <v/>
      </c>
      <c r="D100" s="6">
        <f>IF(A100="","",C100*B100)</f>
        <v/>
      </c>
      <c r="E100" s="2" t="n"/>
      <c r="F100" s="6">
        <f>IF(C100="","",C100/MAX($C$11:$C$110))</f>
        <v/>
      </c>
    </row>
    <row r="101">
      <c r="A101" s="6">
        <f>IF('Ввод'!B99="","",'Ввод'!B99)</f>
        <v/>
      </c>
      <c r="B101" s="6">
        <f>IF(A101="","",'Ввод'!F99)</f>
        <v/>
      </c>
      <c r="C101" s="6">
        <f>IF(A101="","",CHOOSE('Ввод'!$B$6,1,IF(A101&gt;0,1/A101,NA()),IF(A101&gt;0,1/A101^2,NA())))</f>
        <v/>
      </c>
      <c r="D101" s="6">
        <f>IF(A101="","",C101*B101)</f>
        <v/>
      </c>
      <c r="E101" s="2" t="n"/>
      <c r="F101" s="6">
        <f>IF(C101="","",C101/MAX($C$11:$C$110))</f>
        <v/>
      </c>
    </row>
    <row r="102">
      <c r="A102" s="6">
        <f>IF('Ввод'!B100="","",'Ввод'!B100)</f>
        <v/>
      </c>
      <c r="B102" s="6">
        <f>IF(A102="","",'Ввод'!F100)</f>
        <v/>
      </c>
      <c r="C102" s="6">
        <f>IF(A102="","",CHOOSE('Ввод'!$B$6,1,IF(A102&gt;0,1/A102,NA()),IF(A102&gt;0,1/A102^2,NA())))</f>
        <v/>
      </c>
      <c r="D102" s="6">
        <f>IF(A102="","",C102*B102)</f>
        <v/>
      </c>
      <c r="E102" s="2" t="n"/>
      <c r="F102" s="6">
        <f>IF(C102="","",C102/MAX($C$11:$C$110))</f>
        <v/>
      </c>
    </row>
    <row r="103">
      <c r="A103" s="6">
        <f>IF('Ввод'!B101="","",'Ввод'!B101)</f>
        <v/>
      </c>
      <c r="B103" s="6">
        <f>IF(A103="","",'Ввод'!F101)</f>
        <v/>
      </c>
      <c r="C103" s="6">
        <f>IF(A103="","",CHOOSE('Ввод'!$B$6,1,IF(A103&gt;0,1/A103,NA()),IF(A103&gt;0,1/A103^2,NA())))</f>
        <v/>
      </c>
      <c r="D103" s="6">
        <f>IF(A103="","",C103*B103)</f>
        <v/>
      </c>
      <c r="E103" s="2" t="n"/>
      <c r="F103" s="6">
        <f>IF(C103="","",C103/MAX($C$11:$C$110))</f>
        <v/>
      </c>
    </row>
    <row r="104">
      <c r="A104" s="6">
        <f>IF('Ввод'!B102="","",'Ввод'!B102)</f>
        <v/>
      </c>
      <c r="B104" s="6">
        <f>IF(A104="","",'Ввод'!F102)</f>
        <v/>
      </c>
      <c r="C104" s="6">
        <f>IF(A104="","",CHOOSE('Ввод'!$B$6,1,IF(A104&gt;0,1/A104,NA()),IF(A104&gt;0,1/A104^2,NA())))</f>
        <v/>
      </c>
      <c r="D104" s="6">
        <f>IF(A104="","",C104*B104)</f>
        <v/>
      </c>
      <c r="E104" s="2" t="n"/>
      <c r="F104" s="6">
        <f>IF(C104="","",C104/MAX($C$11:$C$110))</f>
        <v/>
      </c>
    </row>
    <row r="105">
      <c r="A105" s="6">
        <f>IF('Ввод'!B103="","",'Ввод'!B103)</f>
        <v/>
      </c>
      <c r="B105" s="6">
        <f>IF(A105="","",'Ввод'!F103)</f>
        <v/>
      </c>
      <c r="C105" s="6">
        <f>IF(A105="","",CHOOSE('Ввод'!$B$6,1,IF(A105&gt;0,1/A105,NA()),IF(A105&gt;0,1/A105^2,NA())))</f>
        <v/>
      </c>
      <c r="D105" s="6">
        <f>IF(A105="","",C105*B105)</f>
        <v/>
      </c>
      <c r="E105" s="2" t="n"/>
      <c r="F105" s="6">
        <f>IF(C105="","",C105/MAX($C$11:$C$110))</f>
        <v/>
      </c>
    </row>
    <row r="106">
      <c r="A106" s="6">
        <f>IF('Ввод'!B104="","",'Ввод'!B104)</f>
        <v/>
      </c>
      <c r="B106" s="6">
        <f>IF(A106="","",'Ввод'!F104)</f>
        <v/>
      </c>
      <c r="C106" s="6">
        <f>IF(A106="","",CHOOSE('Ввод'!$B$6,1,IF(A106&gt;0,1/A106,NA()),IF(A106&gt;0,1/A106^2,NA())))</f>
        <v/>
      </c>
      <c r="D106" s="6">
        <f>IF(A106="","",C106*B106)</f>
        <v/>
      </c>
      <c r="E106" s="2" t="n"/>
      <c r="F106" s="6">
        <f>IF(C106="","",C106/MAX($C$11:$C$110))</f>
        <v/>
      </c>
    </row>
    <row r="107">
      <c r="A107" s="6">
        <f>IF('Ввод'!B105="","",'Ввод'!B105)</f>
        <v/>
      </c>
      <c r="B107" s="6">
        <f>IF(A107="","",'Ввод'!F105)</f>
        <v/>
      </c>
      <c r="C107" s="6">
        <f>IF(A107="","",CHOOSE('Ввод'!$B$6,1,IF(A107&gt;0,1/A107,NA()),IF(A107&gt;0,1/A107^2,NA())))</f>
        <v/>
      </c>
      <c r="D107" s="6">
        <f>IF(A107="","",C107*B107)</f>
        <v/>
      </c>
      <c r="E107" s="2" t="n"/>
      <c r="F107" s="6">
        <f>IF(C107="","",C107/MAX($C$11:$C$110))</f>
        <v/>
      </c>
    </row>
    <row r="108">
      <c r="A108" s="6">
        <f>IF('Ввод'!B106="","",'Ввод'!B106)</f>
        <v/>
      </c>
      <c r="B108" s="6">
        <f>IF(A108="","",'Ввод'!F106)</f>
        <v/>
      </c>
      <c r="C108" s="6">
        <f>IF(A108="","",CHOOSE('Ввод'!$B$6,1,IF(A108&gt;0,1/A108,NA()),IF(A108&gt;0,1/A108^2,NA())))</f>
        <v/>
      </c>
      <c r="D108" s="6">
        <f>IF(A108="","",C108*B108)</f>
        <v/>
      </c>
      <c r="E108" s="2" t="n"/>
      <c r="F108" s="6">
        <f>IF(C108="","",C108/MAX($C$11:$C$110))</f>
        <v/>
      </c>
    </row>
    <row r="109">
      <c r="A109" s="6">
        <f>IF('Ввод'!B107="","",'Ввод'!B107)</f>
        <v/>
      </c>
      <c r="B109" s="6">
        <f>IF(A109="","",'Ввод'!F107)</f>
        <v/>
      </c>
      <c r="C109" s="6">
        <f>IF(A109="","",CHOOSE('Ввод'!$B$6,1,IF(A109&gt;0,1/A109,NA()),IF(A109&gt;0,1/A109^2,NA())))</f>
        <v/>
      </c>
      <c r="D109" s="6">
        <f>IF(A109="","",C109*B109)</f>
        <v/>
      </c>
      <c r="E109" s="2" t="n"/>
      <c r="F109" s="6">
        <f>IF(C109="","",C109/MAX($C$11:$C$110))</f>
        <v/>
      </c>
    </row>
    <row r="110">
      <c r="A110" s="6">
        <f>IF('Ввод'!B108="","",'Ввод'!B108)</f>
        <v/>
      </c>
      <c r="B110" s="6">
        <f>IF(A110="","",'Ввод'!F108)</f>
        <v/>
      </c>
      <c r="C110" s="6">
        <f>IF(A110="","",CHOOSE('Ввод'!$B$6,1,IF(A110&gt;0,1/A110,NA()),IF(A110&gt;0,1/A110^2,NA())))</f>
        <v/>
      </c>
      <c r="D110" s="6">
        <f>IF(A110="","",C110*B110)</f>
        <v/>
      </c>
      <c r="E110" s="2" t="n"/>
      <c r="F110" s="6">
        <f>IF(C110="","",C110/MAX($C$11:$C$110))</f>
        <v/>
      </c>
    </row>
    <row r="111">
      <c r="A111" s="2" t="n"/>
      <c r="B111" s="2" t="n"/>
      <c r="C111" s="2" t="n"/>
      <c r="D111" s="2" t="n"/>
      <c r="E111" s="2" t="n"/>
      <c r="F111" s="2" t="n"/>
    </row>
    <row r="112">
      <c r="A112" s="2" t="n"/>
      <c r="B112" s="2" t="n"/>
      <c r="C112" s="2" t="n"/>
      <c r="D112" s="2" t="n"/>
      <c r="E112" s="2" t="n"/>
      <c r="F112" s="2" t="n"/>
    </row>
    <row r="113">
      <c r="A113" s="2" t="n"/>
      <c r="B113" s="2" t="n"/>
      <c r="C113" s="2" t="n"/>
      <c r="D113" s="2" t="n"/>
      <c r="E113" s="2" t="n"/>
      <c r="F113" s="2" t="n"/>
    </row>
    <row r="114">
      <c r="A114" s="2" t="n"/>
      <c r="B114" s="2" t="n"/>
      <c r="C114" s="2" t="n"/>
      <c r="D114" s="2" t="n"/>
      <c r="E114" s="2" t="n"/>
      <c r="F114" s="2" t="n"/>
    </row>
    <row r="115">
      <c r="A115" s="7" t="inlineStr">
        <is>
          <t>Σw</t>
        </is>
      </c>
      <c r="B115" s="8">
        <f>SUM(C11:C110)</f>
        <v/>
      </c>
      <c r="C115" s="2" t="n"/>
      <c r="D115" s="2" t="n"/>
      <c r="E115" s="2" t="n"/>
      <c r="F115" s="2" t="n"/>
    </row>
    <row r="116">
      <c r="A116" s="7" t="inlineStr">
        <is>
          <t>Σwx</t>
        </is>
      </c>
      <c r="B116" s="8">
        <f>SUMPRODUCT(C11:C110,A11:C110)</f>
        <v/>
      </c>
      <c r="C116" s="2" t="n"/>
      <c r="D116" s="2" t="n"/>
      <c r="E116" s="2" t="n"/>
      <c r="F116" s="2" t="n"/>
    </row>
    <row r="117">
      <c r="A117" s="7" t="inlineStr">
        <is>
          <t>Σwy</t>
        </is>
      </c>
      <c r="B117" s="8">
        <f>SUM(D11:D110)</f>
        <v/>
      </c>
      <c r="C117" s="2" t="n"/>
      <c r="D117" s="2" t="n"/>
      <c r="E117" s="2" t="n"/>
      <c r="F117" s="2" t="n"/>
    </row>
    <row r="118">
      <c r="A118" s="7" t="inlineStr">
        <is>
          <t>Sxx_w = Σw·x² − (Σwx)²/Σw</t>
        </is>
      </c>
      <c r="B118" s="8">
        <f>SUMPRODUCT(C11:C110,A11:C110^2)-B116^2/B115</f>
        <v/>
      </c>
      <c r="C118" s="2" t="n"/>
      <c r="D118" s="2" t="n"/>
      <c r="E118" s="2" t="n"/>
      <c r="F118" s="2" t="n"/>
    </row>
    <row r="119">
      <c r="A119" s="7" t="inlineStr">
        <is>
          <t>Sxy_w = Σw·xy − Σwx·Σwy/Σw</t>
        </is>
      </c>
      <c r="B119" s="8">
        <f>SUMPRODUCT(C11:C110,A11:C110,B11:C110)-B116*B117/B115</f>
        <v/>
      </c>
      <c r="C119" s="2" t="n"/>
      <c r="D119" s="2" t="n"/>
      <c r="E119" s="2" t="n"/>
      <c r="F119" s="2" t="n"/>
    </row>
    <row r="120">
      <c r="A120" s="7" t="inlineStr">
        <is>
          <t>Наклон b1 (WLS)</t>
        </is>
      </c>
      <c r="B120" s="8">
        <f>B119/B118</f>
        <v/>
      </c>
      <c r="C120" s="2" t="n"/>
      <c r="D120" s="2" t="n"/>
      <c r="E120" s="2" t="n"/>
      <c r="F120" s="2" t="n"/>
    </row>
    <row r="121">
      <c r="A121" s="7" t="inlineStr">
        <is>
          <t>Сдвиг b0 (WLS)</t>
        </is>
      </c>
      <c r="B121" s="8">
        <f>(B117-B120*B116)/B115</f>
        <v/>
      </c>
      <c r="C121" s="2" t="n"/>
      <c r="D121" s="2" t="n"/>
      <c r="E121" s="2" t="n"/>
      <c r="F121" s="2" t="n"/>
    </row>
    <row r="122">
      <c r="A122" s="7" t="inlineStr">
        <is>
          <t>SSE_w = Σw·(y−ŵ)²</t>
        </is>
      </c>
      <c r="B122" s="8">
        <f>SUMPRODUCT(C11:C110,(B11:C110-$B$120*A11:C110-$B$121)^2)</f>
        <v/>
      </c>
      <c r="C122" s="2" t="n"/>
      <c r="D122" s="2" t="n"/>
      <c r="E122" s="2" t="n"/>
      <c r="F122" s="2" t="n"/>
    </row>
    <row r="123">
      <c r="A123" s="7" t="inlineStr">
        <is>
          <t>Степени свободы (n_eff − 2)</t>
        </is>
      </c>
      <c r="B123" s="8">
        <f>COUNT(A11:A110)-2</f>
        <v/>
      </c>
      <c r="C123" s="2" t="n"/>
      <c r="D123" s="2" t="n"/>
      <c r="E123" s="2" t="n"/>
      <c r="F123" s="2" t="n"/>
    </row>
    <row r="124">
      <c r="A124" s="7" t="inlineStr">
        <is>
          <t>Взвешенная остаточная дисперсия φ_w</t>
        </is>
      </c>
      <c r="B124" s="8">
        <f>IF(B123&gt;0,B122/B123,NA())</f>
        <v/>
      </c>
      <c r="C124" s="2" t="n"/>
      <c r="D124" s="2" t="n"/>
      <c r="E124" s="2" t="n"/>
      <c r="F124" s="2" t="n"/>
    </row>
    <row r="125">
      <c r="A125" s="7" t="inlineStr">
        <is>
          <t>var(b1)_w = φ_w/Sxx_w</t>
        </is>
      </c>
      <c r="B125" s="8">
        <f>B124/B118</f>
        <v/>
      </c>
      <c r="C125" s="2" t="n"/>
      <c r="D125" s="2" t="n"/>
      <c r="E125" s="2" t="n"/>
      <c r="F125" s="2" t="n"/>
    </row>
    <row r="126">
      <c r="A126" s="7" t="inlineStr">
        <is>
          <t>var(b0)_w</t>
        </is>
      </c>
      <c r="B126" s="8">
        <f>B124*(1/B115+B116^2/(B115*B118))</f>
        <v/>
      </c>
      <c r="C126" s="2" t="n"/>
      <c r="D126" s="2" t="n"/>
      <c r="E126" s="2" t="n"/>
      <c r="F126" s="2" t="n"/>
    </row>
    <row r="127">
      <c r="A127" s="7" t="inlineStr">
        <is>
          <t>cov(b0,b1)_w</t>
        </is>
      </c>
      <c r="B127" s="8">
        <f>-B124*B116/(B115*B118)</f>
        <v/>
      </c>
      <c r="C127" s="2" t="n"/>
      <c r="D127" s="2" t="n"/>
      <c r="E127" s="2" t="n"/>
      <c r="F127" s="2" t="n"/>
    </row>
    <row r="128">
      <c r="A128" s="7" t="inlineStr">
        <is>
          <t>Взвешенное среднее x̄_w</t>
        </is>
      </c>
      <c r="B128" s="8">
        <f>B116/B115</f>
        <v/>
      </c>
      <c r="C128" s="2" t="n"/>
      <c r="D128" s="2" t="n"/>
      <c r="E128" s="2" t="n"/>
      <c r="F128" s="2" t="n"/>
    </row>
    <row r="129">
      <c r="A129" s="7" t="inlineStr">
        <is>
          <t>Δb1 vs ОМНК, %</t>
        </is>
      </c>
      <c r="B129" s="10">
        <f>IF('Регрессия'!B7=0,NA(),ABS(B120-'Регрессия'!B7)/ABS('Регрессия'!B7))</f>
        <v/>
      </c>
      <c r="C129" s="2" t="n"/>
      <c r="D129" s="2" t="n"/>
      <c r="E129" s="2" t="n"/>
      <c r="F129" s="2" t="n"/>
    </row>
    <row r="130">
      <c r="A130" s="7" t="inlineStr">
        <is>
          <t>Δb0 vs ОМНК, %</t>
        </is>
      </c>
      <c r="B130" s="10">
        <f>IF('Регрессия'!B8=0,NA(),ABS(B121-'Регрессия'!B8)/MAX(ABS('Регрессия'!B8),1E-12))</f>
        <v/>
      </c>
      <c r="C130" s="2" t="n"/>
      <c r="D130" s="2" t="n"/>
      <c r="E130" s="2" t="n"/>
      <c r="F130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0" customWidth="1" min="3" max="3"/>
  </cols>
  <sheetData>
    <row r="1">
      <c r="A1" s="1" t="inlineStr">
        <is>
          <t>ПРОГНОЗИРОВАНИЕ И НЕОПРЕДЕЛЁННОСТЬ (ТЕКУЩИЙ РЕЖИМ ВЕСОВ)</t>
        </is>
      </c>
      <c r="B1" s="2" t="n"/>
      <c r="C1" s="2" t="n"/>
      <c r="D1" s="2" t="n"/>
      <c r="E1" s="2" t="n"/>
      <c r="F1" s="2" t="inlineStr">
        <is>
          <t>x_pred (ОМНК, справочно)</t>
        </is>
      </c>
    </row>
    <row r="2">
      <c r="A2" s="7" t="inlineStr">
        <is>
          <t>Предсказанная концентрация x_pred</t>
        </is>
      </c>
      <c r="B2" s="8">
        <f>('Ввод'!B3-'Взвешенная регрессия'!$B$121)/'Взвешенная регрессия'!$B$120</f>
        <v/>
      </c>
      <c r="C2" s="2" t="n"/>
      <c r="D2" s="2" t="n"/>
      <c r="E2" s="2" t="n"/>
      <c r="F2" s="6" t="inlineStr">
        <is>
          <t>('Ввод'!B3-'Регрессия'!B8)/'Регрессия'!B7</t>
        </is>
      </c>
    </row>
    <row r="3">
      <c r="A3" s="7" t="inlineStr">
        <is>
          <t>Дисперсия среднего отклика пробы var(y_obs)</t>
        </is>
      </c>
      <c r="B3" s="8">
        <f>IF('Ввод'!$B$6=1,'Регрессия'!B6,'Взвешенная регрессия'!B124)/'Ввод'!B4</f>
        <v/>
      </c>
      <c r="C3" s="2" t="n"/>
      <c r="D3" s="2" t="n"/>
      <c r="E3" s="2" t="n"/>
      <c r="F3" s="2" t="n"/>
    </row>
    <row r="4">
      <c r="A4" s="7" t="inlineStr">
        <is>
          <t>u²(x_pred) ОМНК (классическая форма)</t>
        </is>
      </c>
      <c r="B4" s="8">
        <f>('Регрессия'!B6/'Регрессия'!B7^2)*(1/'Ввод'!B4+1/'Регрессия'!B2+(B1-'Регрессия'!B3)^2/'Регрессия'!B5)</f>
        <v/>
      </c>
      <c r="C4" s="2" t="n"/>
      <c r="D4" s="2" t="n"/>
      <c r="E4" s="2" t="n"/>
      <c r="F4" s="2" t="n"/>
    </row>
    <row r="5">
      <c r="A5" s="7" t="inlineStr">
        <is>
          <t>u²(x_pred) ОМНК (ковариационная форма)</t>
        </is>
      </c>
      <c r="B5" s="8">
        <f>'Регрессия'!B14</f>
        <v/>
      </c>
      <c r="C5" s="2" t="n"/>
      <c r="D5" s="2" t="n"/>
      <c r="E5" s="2" t="n"/>
      <c r="F5" s="2" t="n"/>
    </row>
    <row r="6">
      <c r="A6" s="7" t="inlineStr">
        <is>
          <t>Абсолютная u эталонов u(x_cal)</t>
        </is>
      </c>
      <c r="B6" s="8">
        <f>ABS(B1)*'Ввод'!B5</f>
        <v/>
      </c>
      <c r="C6" s="2" t="n"/>
      <c r="D6" s="2" t="n"/>
      <c r="E6" s="2" t="n"/>
      <c r="F6" s="2" t="n"/>
    </row>
    <row r="7">
      <c r="A7" s="7" t="inlineStr">
        <is>
          <t>u²(x_pred) текущий режим (WLS, интервальная форма)</t>
        </is>
      </c>
      <c r="B7" s="8">
        <f>IF('Ввод'!$B$6=1,B4,('Взвешенная регрессия'!$B$124*(1/'Ввод'!B4+1/COUNTIFS('Взвешенная регрессия'!A11:A110,"&gt;=0"))+(B1-'Взвешенная регрессия'!$B$128+'Взвешенная регрессия'!$B$121/'Взвешенная регрессия'!$B$120)^2*'Взвешенная регрессия'!$B$125+'Взвешенная регрессия'!$B$126+2*(B1-'Взвешенная регрессия'!$B$128+'Взвешенная регрессия'!$B$121/'Взвешенная регрессия'!$B$120)*'Взвешенная регрессия'!$B$127)/'Взвешенная регрессия'!$B$120^2)</f>
        <v/>
      </c>
      <c r="C7" s="2" t="n"/>
      <c r="D7" s="2" t="n"/>
      <c r="E7" s="2" t="n"/>
      <c r="F7" s="2" t="n"/>
    </row>
    <row r="8">
      <c r="A8" s="7" t="inlineStr">
        <is>
          <t>Суммарная стандартная u_c(x_pred)</t>
        </is>
      </c>
      <c r="B8" s="8">
        <f>SQRT(B6+B5^2)</f>
        <v/>
      </c>
      <c r="C8" s="2" t="n"/>
      <c r="D8" s="2" t="n"/>
      <c r="E8" s="2" t="n"/>
      <c r="F8" s="2" t="n"/>
    </row>
    <row r="9">
      <c r="A9" s="7" t="inlineStr">
        <is>
          <t>Расширенная U (k=2)</t>
        </is>
      </c>
      <c r="B9" s="8">
        <f>2*B7</f>
        <v/>
      </c>
      <c r="C9" s="2" t="n"/>
      <c r="D9" s="2" t="n"/>
      <c r="E9" s="2" t="n"/>
      <c r="F9" s="2" t="n"/>
    </row>
    <row r="10">
      <c r="A10" s="7" t="inlineStr">
        <is>
          <t>Относительная U</t>
        </is>
      </c>
      <c r="B10" s="8">
        <f>IF(B1=0,NA(),B8/ABS(B1))</f>
        <v/>
      </c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inlineStr">
        <is>
          <t>Контроль согласованности двух формул ОМНК</t>
        </is>
      </c>
      <c r="B12" s="2">
        <f>IFERROR(ABS(B4-B5)/MAX(ABS(B4),ABS(B5)),NA())</f>
        <v/>
      </c>
      <c r="C12" s="2" t="n"/>
      <c r="D12" s="2" t="n"/>
      <c r="E12" s="2" t="n"/>
      <c r="F12" s="2" t="n"/>
    </row>
    <row r="13">
      <c r="A13" s="2" t="inlineStr">
        <is>
          <t>Экстраполяция (границы диапазона калибровки)</t>
        </is>
      </c>
      <c r="B13" s="2">
        <f>OR(B1&lt;MIN('Ввод'!B9:B108),B1&gt;MAX('Ввод'!B9:B108))</f>
        <v/>
      </c>
      <c r="C13" s="2" t="n"/>
      <c r="D13" s="2" t="n"/>
      <c r="E13" s="2" t="n"/>
      <c r="F13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НЕОПРЕДЕЛЁННОСТИ ПО УРОВНЯМ КАЛИБРОВКИ (ТЕКУЩИЙ РЕЖИМ ВЕСОВ)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2" t="inlineStr">
        <is>
          <t>Режим весов:</t>
        </is>
      </c>
      <c r="B2" s="6">
        <f>CHOOSE('Ввод'!$B$6,"ОМНК","1/x","1/x²")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5" t="inlineStr">
        <is>
          <t>№</t>
        </is>
      </c>
      <c r="B4" s="5" t="inlineStr">
        <is>
          <t>x_i</t>
        </is>
      </c>
      <c r="C4" s="5" t="inlineStr">
        <is>
          <t>s(y_i) повт.</t>
        </is>
      </c>
      <c r="D4" s="5" t="inlineStr">
        <is>
          <t>u(y_i) повторн.</t>
        </is>
      </c>
      <c r="E4" s="5" t="inlineStr">
        <is>
          <t>n_i</t>
        </is>
      </c>
      <c r="F4" s="5" t="inlineStr">
        <is>
          <t>ŷ_i модель</t>
        </is>
      </c>
      <c r="G4" s="5" t="inlineStr">
        <is>
          <t>var(ŷ_i)</t>
        </is>
      </c>
      <c r="H4" s="5" t="inlineStr">
        <is>
          <t>u(ŷ_i)</t>
        </is>
      </c>
      <c r="I4" s="5" t="inlineStr">
        <is>
          <t>u(y_i) модель</t>
        </is>
      </c>
      <c r="J4" s="5" t="inlineStr">
        <is>
          <t>u(y_i) комбин.</t>
        </is>
      </c>
      <c r="K4" s="5" t="inlineStr">
        <is>
          <t>u(x_i) обратн.</t>
        </is>
      </c>
      <c r="L4" s="5" t="inlineStr">
        <is>
          <t>U(x_i) k=2</t>
        </is>
      </c>
    </row>
    <row r="5">
      <c r="A5" s="6">
        <f>IF('Ввод'!B9="","",ROW()-4)</f>
        <v/>
      </c>
      <c r="B5" s="6">
        <f>IF('Ввод'!B9="","",'Ввод'!B9)</f>
        <v/>
      </c>
      <c r="C5" s="6">
        <f>IF('Ввод'!J9="","",'Ввод'!J9)</f>
        <v/>
      </c>
      <c r="D5" s="6">
        <f>IF(C5="","",C5/SQRT(E5))</f>
        <v/>
      </c>
      <c r="E5" s="6">
        <f>IF(B5="","",COUNT('Ввод'!C9:E9))</f>
        <v/>
      </c>
      <c r="F5" s="6">
        <f>IF(B5="","",IF('Ввод'!$B$6=1,'Регрессия'!$B$7,'Взвешенная регрессия'!$B$120)*B5+IF('Ввод'!$B$6=1,'Регрессия'!$B$8,'Взвешенная регрессия'!$B$121))</f>
        <v/>
      </c>
      <c r="G5" s="6">
        <f>IF(B5="","",IF('Ввод'!$B$6=1,'Регрессия'!$B$6*(1/'Регрессия'!$B$2+(B5-'Регрессия'!$B$3)^2/'Регрессия'!$B$5),'Взвешенная регрессия'!$B$124*(1/'Взвешенная регрессия'!$B$115+(B5-'Взвешенная регрессия'!$B$128)^2/'Взвешенная регрессия'!$B$118)))</f>
        <v/>
      </c>
      <c r="H5" s="6">
        <f>IF(G5="","",SQRT(G5))</f>
        <v/>
      </c>
      <c r="I5" s="6">
        <f>IF(B5="","",SQRT(IF('Ввод'!$B$6=1,'Регрессия'!$B$6,'Взвешенная регрессия'!$B$124)+G5))</f>
        <v/>
      </c>
      <c r="J5" s="6">
        <f>IF(B5="","",SQRT(N(D5)^2+I5^2+(B5*'Ввод'!$B$5)^2))</f>
        <v/>
      </c>
      <c r="K5" s="6">
        <f>IF(B5="","",SQRT(IF('Ввод'!$B$6=1,'Регрессия'!$B$6*(1/E5+1/'Регрессия'!$B$2+(B5-'Регрессия'!$B$3)^2/'Регрессия'!$B$5)+'Регрессия'!$B$10+(B5-'Регрессия'!$B$3)^2*'Регрессия'!$B$9+2*(B5-'Регрессия'!$B$3)*'Регрессия'!$B$11,'Взвешенная регрессия'!$B$124*(1/E5+1/COUNTIFS('Взвешенная регрессия'!$A$11:$A$110,"&gt;=0"))+(B5-'Взвешенная регрессия'!$B$128)^2*'Взвешенная регрессия'!$B$125+'Взвешенная регрессия'!$B$126+2*(B5-'Взвешенная регрессия'!$B$128)*'Взвешенная регрессия'!$B$127)/IF('Ввод'!$B$6=1,'Регрессия'!$B$7,'Взвешенная регрессия'!$B$120)^2+(B5*'Ввод'!$B$5)^2))</f>
        <v/>
      </c>
      <c r="L5" s="6">
        <f>IF(K5="","",2*K5)</f>
        <v/>
      </c>
    </row>
    <row r="6">
      <c r="A6" s="6">
        <f>IF('Ввод'!B10="","",ROW()-4)</f>
        <v/>
      </c>
      <c r="B6" s="6">
        <f>IF('Ввод'!B10="","",'Ввод'!B10)</f>
        <v/>
      </c>
      <c r="C6" s="6">
        <f>IF('Ввод'!J10="","",'Ввод'!J10)</f>
        <v/>
      </c>
      <c r="D6" s="6">
        <f>IF(C6="","",C6/SQRT(E6))</f>
        <v/>
      </c>
      <c r="E6" s="6">
        <f>IF(B6="","",COUNT('Ввод'!C10:E10))</f>
        <v/>
      </c>
      <c r="F6" s="6">
        <f>IF(B6="","",IF('Ввод'!$B$6=1,'Регрессия'!$B$7,'Взвешенная регрессия'!$B$120)*B6+IF('Ввод'!$B$6=1,'Регрессия'!$B$8,'Взвешенная регрессия'!$B$121))</f>
        <v/>
      </c>
      <c r="G6" s="6">
        <f>IF(B6="","",IF('Ввод'!$B$6=1,'Регрессия'!$B$6*(1/'Регрессия'!$B$2+(B6-'Регрессия'!$B$3)^2/'Регрессия'!$B$5),'Взвешенная регрессия'!$B$124*(1/'Взвешенная регрессия'!$B$115+(B6-'Взвешенная регрессия'!$B$128)^2/'Взвешенная регрессия'!$B$118)))</f>
        <v/>
      </c>
      <c r="H6" s="6">
        <f>IF(G6="","",SQRT(G6))</f>
        <v/>
      </c>
      <c r="I6" s="6">
        <f>IF(B6="","",SQRT(IF('Ввод'!$B$6=1,'Регрессия'!$B$6,'Взвешенная регрессия'!$B$124)+G6))</f>
        <v/>
      </c>
      <c r="J6" s="6">
        <f>IF(B6="","",SQRT(N(D6)^2+I6^2+(B6*'Ввод'!$B$5)^2))</f>
        <v/>
      </c>
      <c r="K6" s="6">
        <f>IF(B6="","",SQRT(IF('Ввод'!$B$6=1,'Регрессия'!$B$6*(1/E6+1/'Регрессия'!$B$2+(B6-'Регрессия'!$B$3)^2/'Регрессия'!$B$5)+'Регрессия'!$B$10+(B6-'Регрессия'!$B$3)^2*'Регрессия'!$B$9+2*(B6-'Регрессия'!$B$3)*'Регрессия'!$B$11,'Взвешенная регрессия'!$B$124*(1/E6+1/COUNTIFS('Взвешенная регрессия'!$A$11:$A$110,"&gt;=0"))+(B6-'Взвешенная регрессия'!$B$128)^2*'Взвешенная регрессия'!$B$125+'Взвешенная регрессия'!$B$126+2*(B6-'Взвешенная регрессия'!$B$128)*'Взвешенная регрессия'!$B$127)/IF('Ввод'!$B$6=1,'Регрессия'!$B$7,'Взвешенная регрессия'!$B$120)^2+(B6*'Ввод'!$B$5)^2))</f>
        <v/>
      </c>
      <c r="L6" s="6">
        <f>IF(K6="","",2*K6)</f>
        <v/>
      </c>
    </row>
    <row r="7">
      <c r="A7" s="6">
        <f>IF('Ввод'!B11="","",ROW()-4)</f>
        <v/>
      </c>
      <c r="B7" s="6">
        <f>IF('Ввод'!B11="","",'Ввод'!B11)</f>
        <v/>
      </c>
      <c r="C7" s="6">
        <f>IF('Ввод'!J11="","",'Ввод'!J11)</f>
        <v/>
      </c>
      <c r="D7" s="6">
        <f>IF(C7="","",C7/SQRT(E7))</f>
        <v/>
      </c>
      <c r="E7" s="6">
        <f>IF(B7="","",COUNT('Ввод'!C11:E11))</f>
        <v/>
      </c>
      <c r="F7" s="6">
        <f>IF(B7="","",IF('Ввод'!$B$6=1,'Регрессия'!$B$7,'Взвешенная регрессия'!$B$120)*B7+IF('Ввод'!$B$6=1,'Регрессия'!$B$8,'Взвешенная регрессия'!$B$121))</f>
        <v/>
      </c>
      <c r="G7" s="6">
        <f>IF(B7="","",IF('Ввод'!$B$6=1,'Регрессия'!$B$6*(1/'Регрессия'!$B$2+(B7-'Регрессия'!$B$3)^2/'Регрессия'!$B$5),'Взвешенная регрессия'!$B$124*(1/'Взвешенная регрессия'!$B$115+(B7-'Взвешенная регрессия'!$B$128)^2/'Взвешенная регрессия'!$B$118)))</f>
        <v/>
      </c>
      <c r="H7" s="6">
        <f>IF(G7="","",SQRT(G7))</f>
        <v/>
      </c>
      <c r="I7" s="6">
        <f>IF(B7="","",SQRT(IF('Ввод'!$B$6=1,'Регрессия'!$B$6,'Взвешенная регрессия'!$B$124)+G7))</f>
        <v/>
      </c>
      <c r="J7" s="6">
        <f>IF(B7="","",SQRT(N(D7)^2+I7^2+(B7*'Ввод'!$B$5)^2))</f>
        <v/>
      </c>
      <c r="K7" s="6">
        <f>IF(B7="","",SQRT(IF('Ввод'!$B$6=1,'Регрессия'!$B$6*(1/E7+1/'Регрессия'!$B$2+(B7-'Регрессия'!$B$3)^2/'Регрессия'!$B$5)+'Регрессия'!$B$10+(B7-'Регрессия'!$B$3)^2*'Регрессия'!$B$9+2*(B7-'Регрессия'!$B$3)*'Регрессия'!$B$11,'Взвешенная регрессия'!$B$124*(1/E7+1/COUNTIFS('Взвешенная регрессия'!$A$11:$A$110,"&gt;=0"))+(B7-'Взвешенная регрессия'!$B$128)^2*'Взвешенная регрессия'!$B$125+'Взвешенная регрессия'!$B$126+2*(B7-'Взвешенная регрессия'!$B$128)*'Взвешенная регрессия'!$B$127)/IF('Ввод'!$B$6=1,'Регрессия'!$B$7,'Взвешенная регрессия'!$B$120)^2+(B7*'Ввод'!$B$5)^2))</f>
        <v/>
      </c>
      <c r="L7" s="6">
        <f>IF(K7="","",2*K7)</f>
        <v/>
      </c>
    </row>
    <row r="8">
      <c r="A8" s="6">
        <f>IF('Ввод'!B12="","",ROW()-4)</f>
        <v/>
      </c>
      <c r="B8" s="6">
        <f>IF('Ввод'!B12="","",'Ввод'!B12)</f>
        <v/>
      </c>
      <c r="C8" s="6">
        <f>IF('Ввод'!J12="","",'Ввод'!J12)</f>
        <v/>
      </c>
      <c r="D8" s="6">
        <f>IF(C8="","",C8/SQRT(E8))</f>
        <v/>
      </c>
      <c r="E8" s="6">
        <f>IF(B8="","",COUNT('Ввод'!C12:E12))</f>
        <v/>
      </c>
      <c r="F8" s="6">
        <f>IF(B8="","",IF('Ввод'!$B$6=1,'Регрессия'!$B$7,'Взвешенная регрессия'!$B$120)*B8+IF('Ввод'!$B$6=1,'Регрессия'!$B$8,'Взвешенная регрессия'!$B$121))</f>
        <v/>
      </c>
      <c r="G8" s="6">
        <f>IF(B8="","",IF('Ввод'!$B$6=1,'Регрессия'!$B$6*(1/'Регрессия'!$B$2+(B8-'Регрессия'!$B$3)^2/'Регрессия'!$B$5),'Взвешенная регрессия'!$B$124*(1/'Взвешенная регрессия'!$B$115+(B8-'Взвешенная регрессия'!$B$128)^2/'Взвешенная регрессия'!$B$118)))</f>
        <v/>
      </c>
      <c r="H8" s="6">
        <f>IF(G8="","",SQRT(G8))</f>
        <v/>
      </c>
      <c r="I8" s="6">
        <f>IF(B8="","",SQRT(IF('Ввод'!$B$6=1,'Регрессия'!$B$6,'Взвешенная регрессия'!$B$124)+G8))</f>
        <v/>
      </c>
      <c r="J8" s="6">
        <f>IF(B8="","",SQRT(N(D8)^2+I8^2+(B8*'Ввод'!$B$5)^2))</f>
        <v/>
      </c>
      <c r="K8" s="6">
        <f>IF(B8="","",SQRT(IF('Ввод'!$B$6=1,'Регрессия'!$B$6*(1/E8+1/'Регрессия'!$B$2+(B8-'Регрессия'!$B$3)^2/'Регрессия'!$B$5)+'Регрессия'!$B$10+(B8-'Регрессия'!$B$3)^2*'Регрессия'!$B$9+2*(B8-'Регрессия'!$B$3)*'Регрессия'!$B$11,'Взвешенная регрессия'!$B$124*(1/E8+1/COUNTIFS('Взвешенная регрессия'!$A$11:$A$110,"&gt;=0"))+(B8-'Взвешенная регрессия'!$B$128)^2*'Взвешенная регрессия'!$B$125+'Взвешенная регрессия'!$B$126+2*(B8-'Взвешенная регрессия'!$B$128)*'Взвешенная регрессия'!$B$127)/IF('Ввод'!$B$6=1,'Регрессия'!$B$7,'Взвешенная регрессия'!$B$120)^2+(B8*'Ввод'!$B$5)^2))</f>
        <v/>
      </c>
      <c r="L8" s="6">
        <f>IF(K8="","",2*K8)</f>
        <v/>
      </c>
    </row>
    <row r="9">
      <c r="A9" s="6">
        <f>IF('Ввод'!B13="","",ROW()-4)</f>
        <v/>
      </c>
      <c r="B9" s="6">
        <f>IF('Ввод'!B13="","",'Ввод'!B13)</f>
        <v/>
      </c>
      <c r="C9" s="6">
        <f>IF('Ввод'!J13="","",'Ввод'!J13)</f>
        <v/>
      </c>
      <c r="D9" s="6">
        <f>IF(C9="","",C9/SQRT(E9))</f>
        <v/>
      </c>
      <c r="E9" s="6">
        <f>IF(B9="","",COUNT('Ввод'!C13:E13))</f>
        <v/>
      </c>
      <c r="F9" s="6">
        <f>IF(B9="","",IF('Ввод'!$B$6=1,'Регрессия'!$B$7,'Взвешенная регрессия'!$B$120)*B9+IF('Ввод'!$B$6=1,'Регрессия'!$B$8,'Взвешенная регрессия'!$B$121))</f>
        <v/>
      </c>
      <c r="G9" s="6">
        <f>IF(B9="","",IF('Ввод'!$B$6=1,'Регрессия'!$B$6*(1/'Регрессия'!$B$2+(B9-'Регрессия'!$B$3)^2/'Регрессия'!$B$5),'Взвешенная регрессия'!$B$124*(1/'Взвешенная регрессия'!$B$115+(B9-'Взвешенная регрессия'!$B$128)^2/'Взвешенная регрессия'!$B$118)))</f>
        <v/>
      </c>
      <c r="H9" s="6">
        <f>IF(G9="","",SQRT(G9))</f>
        <v/>
      </c>
      <c r="I9" s="6">
        <f>IF(B9="","",SQRT(IF('Ввод'!$B$6=1,'Регрессия'!$B$6,'Взвешенная регрессия'!$B$124)+G9))</f>
        <v/>
      </c>
      <c r="J9" s="6">
        <f>IF(B9="","",SQRT(N(D9)^2+I9^2+(B9*'Ввод'!$B$5)^2))</f>
        <v/>
      </c>
      <c r="K9" s="6">
        <f>IF(B9="","",SQRT(IF('Ввод'!$B$6=1,'Регрессия'!$B$6*(1/E9+1/'Регрессия'!$B$2+(B9-'Регрессия'!$B$3)^2/'Регрессия'!$B$5)+'Регрессия'!$B$10+(B9-'Регрессия'!$B$3)^2*'Регрессия'!$B$9+2*(B9-'Регрессия'!$B$3)*'Регрессия'!$B$11,'Взвешенная регрессия'!$B$124*(1/E9+1/COUNTIFS('Взвешенная регрессия'!$A$11:$A$110,"&gt;=0"))+(B9-'Взвешенная регрессия'!$B$128)^2*'Взвешенная регрессия'!$B$125+'Взвешенная регрессия'!$B$126+2*(B9-'Взвешенная регрессия'!$B$128)*'Взвешенная регрессия'!$B$127)/IF('Ввод'!$B$6=1,'Регрессия'!$B$7,'Взвешенная регрессия'!$B$120)^2+(B9*'Ввод'!$B$5)^2))</f>
        <v/>
      </c>
      <c r="L9" s="6">
        <f>IF(K9="","",2*K9)</f>
        <v/>
      </c>
    </row>
    <row r="10">
      <c r="A10" s="6">
        <f>IF('Ввод'!B14="","",ROW()-4)</f>
        <v/>
      </c>
      <c r="B10" s="6">
        <f>IF('Ввод'!B14="","",'Ввод'!B14)</f>
        <v/>
      </c>
      <c r="C10" s="6">
        <f>IF('Ввод'!J14="","",'Ввод'!J14)</f>
        <v/>
      </c>
      <c r="D10" s="6">
        <f>IF(C10="","",C10/SQRT(E10))</f>
        <v/>
      </c>
      <c r="E10" s="6">
        <f>IF(B10="","",COUNT('Ввод'!C14:E14))</f>
        <v/>
      </c>
      <c r="F10" s="6">
        <f>IF(B10="","",IF('Ввод'!$B$6=1,'Регрессия'!$B$7,'Взвешенная регрессия'!$B$120)*B10+IF('Ввод'!$B$6=1,'Регрессия'!$B$8,'Взвешенная регрессия'!$B$121))</f>
        <v/>
      </c>
      <c r="G10" s="6">
        <f>IF(B10="","",IF('Ввод'!$B$6=1,'Регрессия'!$B$6*(1/'Регрессия'!$B$2+(B10-'Регрессия'!$B$3)^2/'Регрессия'!$B$5),'Взвешенная регрессия'!$B$124*(1/'Взвешенная регрессия'!$B$115+(B10-'Взвешенная регрессия'!$B$128)^2/'Взвешенная регрессия'!$B$118)))</f>
        <v/>
      </c>
      <c r="H10" s="6">
        <f>IF(G10="","",SQRT(G10))</f>
        <v/>
      </c>
      <c r="I10" s="6">
        <f>IF(B10="","",SQRT(IF('Ввод'!$B$6=1,'Регрессия'!$B$6,'Взвешенная регрессия'!$B$124)+G10))</f>
        <v/>
      </c>
      <c r="J10" s="6">
        <f>IF(B10="","",SQRT(N(D10)^2+I10^2+(B10*'Ввод'!$B$5)^2))</f>
        <v/>
      </c>
      <c r="K10" s="6">
        <f>IF(B10="","",SQRT(IF('Ввод'!$B$6=1,'Регрессия'!$B$6*(1/E10+1/'Регрессия'!$B$2+(B10-'Регрессия'!$B$3)^2/'Регрессия'!$B$5)+'Регрессия'!$B$10+(B10-'Регрессия'!$B$3)^2*'Регрессия'!$B$9+2*(B10-'Регрессия'!$B$3)*'Регрессия'!$B$11,'Взвешенная регрессия'!$B$124*(1/E10+1/COUNTIFS('Взвешенная регрессия'!$A$11:$A$110,"&gt;=0"))+(B10-'Взвешенная регрессия'!$B$128)^2*'Взвешенная регрессия'!$B$125+'Взвешенная регрессия'!$B$126+2*(B10-'Взвешенная регрессия'!$B$128)*'Взвешенная регрессия'!$B$127)/IF('Ввод'!$B$6=1,'Регрессия'!$B$7,'Взвешенная регрессия'!$B$120)^2+(B10*'Ввод'!$B$5)^2))</f>
        <v/>
      </c>
      <c r="L10" s="6">
        <f>IF(K10="","",2*K10)</f>
        <v/>
      </c>
    </row>
    <row r="11">
      <c r="A11" s="6">
        <f>IF('Ввод'!B15="","",ROW()-4)</f>
        <v/>
      </c>
      <c r="B11" s="6">
        <f>IF('Ввод'!B15="","",'Ввод'!B15)</f>
        <v/>
      </c>
      <c r="C11" s="6">
        <f>IF('Ввод'!J15="","",'Ввод'!J15)</f>
        <v/>
      </c>
      <c r="D11" s="6">
        <f>IF(C11="","",C11/SQRT(E11))</f>
        <v/>
      </c>
      <c r="E11" s="6">
        <f>IF(B11="","",COUNT('Ввод'!C15:E15))</f>
        <v/>
      </c>
      <c r="F11" s="6">
        <f>IF(B11="","",IF('Ввод'!$B$6=1,'Регрессия'!$B$7,'Взвешенная регрессия'!$B$120)*B11+IF('Ввод'!$B$6=1,'Регрессия'!$B$8,'Взвешенная регрессия'!$B$121))</f>
        <v/>
      </c>
      <c r="G11" s="6">
        <f>IF(B11="","",IF('Ввод'!$B$6=1,'Регрессия'!$B$6*(1/'Регрессия'!$B$2+(B11-'Регрессия'!$B$3)^2/'Регрессия'!$B$5),'Взвешенная регрессия'!$B$124*(1/'Взвешенная регрессия'!$B$115+(B11-'Взвешенная регрессия'!$B$128)^2/'Взвешенная регрессия'!$B$118)))</f>
        <v/>
      </c>
      <c r="H11" s="6">
        <f>IF(G11="","",SQRT(G11))</f>
        <v/>
      </c>
      <c r="I11" s="6">
        <f>IF(B11="","",SQRT(IF('Ввод'!$B$6=1,'Регрессия'!$B$6,'Взвешенная регрессия'!$B$124)+G11))</f>
        <v/>
      </c>
      <c r="J11" s="6">
        <f>IF(B11="","",SQRT(N(D11)^2+I11^2+(B11*'Ввод'!$B$5)^2))</f>
        <v/>
      </c>
      <c r="K11" s="6">
        <f>IF(B11="","",SQRT(IF('Ввод'!$B$6=1,'Регрессия'!$B$6*(1/E11+1/'Регрессия'!$B$2+(B11-'Регрессия'!$B$3)^2/'Регрессия'!$B$5)+'Регрессия'!$B$10+(B11-'Регрессия'!$B$3)^2*'Регрессия'!$B$9+2*(B11-'Регрессия'!$B$3)*'Регрессия'!$B$11,'Взвешенная регрессия'!$B$124*(1/E11+1/COUNTIFS('Взвешенная регрессия'!$A$11:$A$110,"&gt;=0"))+(B11-'Взвешенная регрессия'!$B$128)^2*'Взвешенная регрессия'!$B$125+'Взвешенная регрессия'!$B$126+2*(B11-'Взвешенная регрессия'!$B$128)*'Взвешенная регрессия'!$B$127)/IF('Ввод'!$B$6=1,'Регрессия'!$B$7,'Взвешенная регрессия'!$B$120)^2+(B11*'Ввод'!$B$5)^2))</f>
        <v/>
      </c>
      <c r="L11" s="6">
        <f>IF(K11="","",2*K11)</f>
        <v/>
      </c>
    </row>
    <row r="12">
      <c r="A12" s="6">
        <f>IF('Ввод'!B16="","",ROW()-4)</f>
        <v/>
      </c>
      <c r="B12" s="6">
        <f>IF('Ввод'!B16="","",'Ввод'!B16)</f>
        <v/>
      </c>
      <c r="C12" s="6">
        <f>IF('Ввод'!J16="","",'Ввод'!J16)</f>
        <v/>
      </c>
      <c r="D12" s="6">
        <f>IF(C12="","",C12/SQRT(E12))</f>
        <v/>
      </c>
      <c r="E12" s="6">
        <f>IF(B12="","",COUNT('Ввод'!C16:E16))</f>
        <v/>
      </c>
      <c r="F12" s="6">
        <f>IF(B12="","",IF('Ввод'!$B$6=1,'Регрессия'!$B$7,'Взвешенная регрессия'!$B$120)*B12+IF('Ввод'!$B$6=1,'Регрессия'!$B$8,'Взвешенная регрессия'!$B$121))</f>
        <v/>
      </c>
      <c r="G12" s="6">
        <f>IF(B12="","",IF('Ввод'!$B$6=1,'Регрессия'!$B$6*(1/'Регрессия'!$B$2+(B12-'Регрессия'!$B$3)^2/'Регрессия'!$B$5),'Взвешенная регрессия'!$B$124*(1/'Взвешенная регрессия'!$B$115+(B12-'Взвешенная регрессия'!$B$128)^2/'Взвешенная регрессия'!$B$118)))</f>
        <v/>
      </c>
      <c r="H12" s="6">
        <f>IF(G12="","",SQRT(G12))</f>
        <v/>
      </c>
      <c r="I12" s="6">
        <f>IF(B12="","",SQRT(IF('Ввод'!$B$6=1,'Регрессия'!$B$6,'Взвешенная регрессия'!$B$124)+G12))</f>
        <v/>
      </c>
      <c r="J12" s="6">
        <f>IF(B12="","",SQRT(N(D12)^2+I12^2+(B12*'Ввод'!$B$5)^2))</f>
        <v/>
      </c>
      <c r="K12" s="6">
        <f>IF(B12="","",SQRT(IF('Ввод'!$B$6=1,'Регрессия'!$B$6*(1/E12+1/'Регрессия'!$B$2+(B12-'Регрессия'!$B$3)^2/'Регрессия'!$B$5)+'Регрессия'!$B$10+(B12-'Регрессия'!$B$3)^2*'Регрессия'!$B$9+2*(B12-'Регрессия'!$B$3)*'Регрессия'!$B$11,'Взвешенная регрессия'!$B$124*(1/E12+1/COUNTIFS('Взвешенная регрессия'!$A$11:$A$110,"&gt;=0"))+(B12-'Взвешенная регрессия'!$B$128)^2*'Взвешенная регрессия'!$B$125+'Взвешенная регрессия'!$B$126+2*(B12-'Взвешенная регрессия'!$B$128)*'Взвешенная регрессия'!$B$127)/IF('Ввод'!$B$6=1,'Регрессия'!$B$7,'Взвешенная регрессия'!$B$120)^2+(B12*'Ввод'!$B$5)^2))</f>
        <v/>
      </c>
      <c r="L12" s="6">
        <f>IF(K12="","",2*K12)</f>
        <v/>
      </c>
    </row>
    <row r="13">
      <c r="A13" s="6">
        <f>IF('Ввод'!B17="","",ROW()-4)</f>
        <v/>
      </c>
      <c r="B13" s="6">
        <f>IF('Ввод'!B17="","",'Ввод'!B17)</f>
        <v/>
      </c>
      <c r="C13" s="6">
        <f>IF('Ввод'!J17="","",'Ввод'!J17)</f>
        <v/>
      </c>
      <c r="D13" s="6">
        <f>IF(C13="","",C13/SQRT(E13))</f>
        <v/>
      </c>
      <c r="E13" s="6">
        <f>IF(B13="","",COUNT('Ввод'!C17:E17))</f>
        <v/>
      </c>
      <c r="F13" s="6">
        <f>IF(B13="","",IF('Ввод'!$B$6=1,'Регрессия'!$B$7,'Взвешенная регрессия'!$B$120)*B13+IF('Ввод'!$B$6=1,'Регрессия'!$B$8,'Взвешенная регрессия'!$B$121))</f>
        <v/>
      </c>
      <c r="G13" s="6">
        <f>IF(B13="","",IF('Ввод'!$B$6=1,'Регрессия'!$B$6*(1/'Регрессия'!$B$2+(B13-'Регрессия'!$B$3)^2/'Регрессия'!$B$5),'Взвешенная регрессия'!$B$124*(1/'Взвешенная регрессия'!$B$115+(B13-'Взвешенная регрессия'!$B$128)^2/'Взвешенная регрессия'!$B$118)))</f>
        <v/>
      </c>
      <c r="H13" s="6">
        <f>IF(G13="","",SQRT(G13))</f>
        <v/>
      </c>
      <c r="I13" s="6">
        <f>IF(B13="","",SQRT(IF('Ввод'!$B$6=1,'Регрессия'!$B$6,'Взвешенная регрессия'!$B$124)+G13))</f>
        <v/>
      </c>
      <c r="J13" s="6">
        <f>IF(B13="","",SQRT(N(D13)^2+I13^2+(B13*'Ввод'!$B$5)^2))</f>
        <v/>
      </c>
      <c r="K13" s="6">
        <f>IF(B13="","",SQRT(IF('Ввод'!$B$6=1,'Регрессия'!$B$6*(1/E13+1/'Регрессия'!$B$2+(B13-'Регрессия'!$B$3)^2/'Регрессия'!$B$5)+'Регрессия'!$B$10+(B13-'Регрессия'!$B$3)^2*'Регрессия'!$B$9+2*(B13-'Регрессия'!$B$3)*'Регрессия'!$B$11,'Взвешенная регрессия'!$B$124*(1/E13+1/COUNTIFS('Взвешенная регрессия'!$A$11:$A$110,"&gt;=0"))+(B13-'Взвешенная регрессия'!$B$128)^2*'Взвешенная регрессия'!$B$125+'Взвешенная регрессия'!$B$126+2*(B13-'Взвешенная регрессия'!$B$128)*'Взвешенная регрессия'!$B$127)/IF('Ввод'!$B$6=1,'Регрессия'!$B$7,'Взвешенная регрессия'!$B$120)^2+(B13*'Ввод'!$B$5)^2))</f>
        <v/>
      </c>
      <c r="L13" s="6">
        <f>IF(K13="","",2*K13)</f>
        <v/>
      </c>
    </row>
    <row r="14">
      <c r="A14" s="6">
        <f>IF('Ввод'!B18="","",ROW()-4)</f>
        <v/>
      </c>
      <c r="B14" s="6">
        <f>IF('Ввод'!B18="","",'Ввод'!B18)</f>
        <v/>
      </c>
      <c r="C14" s="6">
        <f>IF('Ввод'!J18="","",'Ввод'!J18)</f>
        <v/>
      </c>
      <c r="D14" s="6">
        <f>IF(C14="","",C14/SQRT(E14))</f>
        <v/>
      </c>
      <c r="E14" s="6">
        <f>IF(B14="","",COUNT('Ввод'!C18:E18))</f>
        <v/>
      </c>
      <c r="F14" s="6">
        <f>IF(B14="","",IF('Ввод'!$B$6=1,'Регрессия'!$B$7,'Взвешенная регрессия'!$B$120)*B14+IF('Ввод'!$B$6=1,'Регрессия'!$B$8,'Взвешенная регрессия'!$B$121))</f>
        <v/>
      </c>
      <c r="G14" s="6">
        <f>IF(B14="","",IF('Ввод'!$B$6=1,'Регрессия'!$B$6*(1/'Регрессия'!$B$2+(B14-'Регрессия'!$B$3)^2/'Регрессия'!$B$5),'Взвешенная регрессия'!$B$124*(1/'Взвешенная регрессия'!$B$115+(B14-'Взвешенная регрессия'!$B$128)^2/'Взвешенная регрессия'!$B$118)))</f>
        <v/>
      </c>
      <c r="H14" s="6">
        <f>IF(G14="","",SQRT(G14))</f>
        <v/>
      </c>
      <c r="I14" s="6">
        <f>IF(B14="","",SQRT(IF('Ввод'!$B$6=1,'Регрессия'!$B$6,'Взвешенная регрессия'!$B$124)+G14))</f>
        <v/>
      </c>
      <c r="J14" s="6">
        <f>IF(B14="","",SQRT(N(D14)^2+I14^2+(B14*'Ввод'!$B$5)^2))</f>
        <v/>
      </c>
      <c r="K14" s="6">
        <f>IF(B14="","",SQRT(IF('Ввод'!$B$6=1,'Регрессия'!$B$6*(1/E14+1/'Регрессия'!$B$2+(B14-'Регрессия'!$B$3)^2/'Регрессия'!$B$5)+'Регрессия'!$B$10+(B14-'Регрессия'!$B$3)^2*'Регрессия'!$B$9+2*(B14-'Регрессия'!$B$3)*'Регрессия'!$B$11,'Взвешенная регрессия'!$B$124*(1/E14+1/COUNTIFS('Взвешенная регрессия'!$A$11:$A$110,"&gt;=0"))+(B14-'Взвешенная регрессия'!$B$128)^2*'Взвешенная регрессия'!$B$125+'Взвешенная регрессия'!$B$126+2*(B14-'Взвешенная регрессия'!$B$128)*'Взвешенная регрессия'!$B$127)/IF('Ввод'!$B$6=1,'Регрессия'!$B$7,'Взвешенная регрессия'!$B$120)^2+(B14*'Ввод'!$B$5)^2))</f>
        <v/>
      </c>
      <c r="L14" s="6">
        <f>IF(K14="","",2*K14)</f>
        <v/>
      </c>
    </row>
    <row r="15">
      <c r="A15" s="6">
        <f>IF('Ввод'!B19="","",ROW()-4)</f>
        <v/>
      </c>
      <c r="B15" s="6">
        <f>IF('Ввод'!B19="","",'Ввод'!B19)</f>
        <v/>
      </c>
      <c r="C15" s="6">
        <f>IF('Ввод'!J19="","",'Ввод'!J19)</f>
        <v/>
      </c>
      <c r="D15" s="6">
        <f>IF(C15="","",C15/SQRT(E15))</f>
        <v/>
      </c>
      <c r="E15" s="6">
        <f>IF(B15="","",COUNT('Ввод'!C19:E19))</f>
        <v/>
      </c>
      <c r="F15" s="6">
        <f>IF(B15="","",IF('Ввод'!$B$6=1,'Регрессия'!$B$7,'Взвешенная регрессия'!$B$120)*B15+IF('Ввод'!$B$6=1,'Регрессия'!$B$8,'Взвешенная регрессия'!$B$121))</f>
        <v/>
      </c>
      <c r="G15" s="6">
        <f>IF(B15="","",IF('Ввод'!$B$6=1,'Регрессия'!$B$6*(1/'Регрессия'!$B$2+(B15-'Регрессия'!$B$3)^2/'Регрессия'!$B$5),'Взвешенная регрессия'!$B$124*(1/'Взвешенная регрессия'!$B$115+(B15-'Взвешенная регрессия'!$B$128)^2/'Взвешенная регрессия'!$B$118)))</f>
        <v/>
      </c>
      <c r="H15" s="6">
        <f>IF(G15="","",SQRT(G15))</f>
        <v/>
      </c>
      <c r="I15" s="6">
        <f>IF(B15="","",SQRT(IF('Ввод'!$B$6=1,'Регрессия'!$B$6,'Взвешенная регрессия'!$B$124)+G15))</f>
        <v/>
      </c>
      <c r="J15" s="6">
        <f>IF(B15="","",SQRT(N(D15)^2+I15^2+(B15*'Ввод'!$B$5)^2))</f>
        <v/>
      </c>
      <c r="K15" s="6">
        <f>IF(B15="","",SQRT(IF('Ввод'!$B$6=1,'Регрессия'!$B$6*(1/E15+1/'Регрессия'!$B$2+(B15-'Регрессия'!$B$3)^2/'Регрессия'!$B$5)+'Регрессия'!$B$10+(B15-'Регрессия'!$B$3)^2*'Регрессия'!$B$9+2*(B15-'Регрессия'!$B$3)*'Регрессия'!$B$11,'Взвешенная регрессия'!$B$124*(1/E15+1/COUNTIFS('Взвешенная регрессия'!$A$11:$A$110,"&gt;=0"))+(B15-'Взвешенная регрессия'!$B$128)^2*'Взвешенная регрессия'!$B$125+'Взвешенная регрессия'!$B$126+2*(B15-'Взвешенная регрессия'!$B$128)*'Взвешенная регрессия'!$B$127)/IF('Ввод'!$B$6=1,'Регрессия'!$B$7,'Взвешенная регрессия'!$B$120)^2+(B15*'Ввод'!$B$5)^2))</f>
        <v/>
      </c>
      <c r="L15" s="6">
        <f>IF(K15="","",2*K15)</f>
        <v/>
      </c>
    </row>
    <row r="16">
      <c r="A16" s="6">
        <f>IF('Ввод'!B20="","",ROW()-4)</f>
        <v/>
      </c>
      <c r="B16" s="6">
        <f>IF('Ввод'!B20="","",'Ввод'!B20)</f>
        <v/>
      </c>
      <c r="C16" s="6">
        <f>IF('Ввод'!J20="","",'Ввод'!J20)</f>
        <v/>
      </c>
      <c r="D16" s="6">
        <f>IF(C16="","",C16/SQRT(E16))</f>
        <v/>
      </c>
      <c r="E16" s="6">
        <f>IF(B16="","",COUNT('Ввод'!C20:E20))</f>
        <v/>
      </c>
      <c r="F16" s="6">
        <f>IF(B16="","",IF('Ввод'!$B$6=1,'Регрессия'!$B$7,'Взвешенная регрессия'!$B$120)*B16+IF('Ввод'!$B$6=1,'Регрессия'!$B$8,'Взвешенная регрессия'!$B$121))</f>
        <v/>
      </c>
      <c r="G16" s="6">
        <f>IF(B16="","",IF('Ввод'!$B$6=1,'Регрессия'!$B$6*(1/'Регрессия'!$B$2+(B16-'Регрессия'!$B$3)^2/'Регрессия'!$B$5),'Взвешенная регрессия'!$B$124*(1/'Взвешенная регрессия'!$B$115+(B16-'Взвешенная регрессия'!$B$128)^2/'Взвешенная регрессия'!$B$118)))</f>
        <v/>
      </c>
      <c r="H16" s="6">
        <f>IF(G16="","",SQRT(G16))</f>
        <v/>
      </c>
      <c r="I16" s="6">
        <f>IF(B16="","",SQRT(IF('Ввод'!$B$6=1,'Регрессия'!$B$6,'Взвешенная регрессия'!$B$124)+G16))</f>
        <v/>
      </c>
      <c r="J16" s="6">
        <f>IF(B16="","",SQRT(N(D16)^2+I16^2+(B16*'Ввод'!$B$5)^2))</f>
        <v/>
      </c>
      <c r="K16" s="6">
        <f>IF(B16="","",SQRT(IF('Ввод'!$B$6=1,'Регрессия'!$B$6*(1/E16+1/'Регрессия'!$B$2+(B16-'Регрессия'!$B$3)^2/'Регрессия'!$B$5)+'Регрессия'!$B$10+(B16-'Регрессия'!$B$3)^2*'Регрессия'!$B$9+2*(B16-'Регрессия'!$B$3)*'Регрессия'!$B$11,'Взвешенная регрессия'!$B$124*(1/E16+1/COUNTIFS('Взвешенная регрессия'!$A$11:$A$110,"&gt;=0"))+(B16-'Взвешенная регрессия'!$B$128)^2*'Взвешенная регрессия'!$B$125+'Взвешенная регрессия'!$B$126+2*(B16-'Взвешенная регрессия'!$B$128)*'Взвешенная регрессия'!$B$127)/IF('Ввод'!$B$6=1,'Регрессия'!$B$7,'Взвешенная регрессия'!$B$120)^2+(B16*'Ввод'!$B$5)^2))</f>
        <v/>
      </c>
      <c r="L16" s="6">
        <f>IF(K16="","",2*K16)</f>
        <v/>
      </c>
    </row>
    <row r="17">
      <c r="A17" s="6">
        <f>IF('Ввод'!B21="","",ROW()-4)</f>
        <v/>
      </c>
      <c r="B17" s="6">
        <f>IF('Ввод'!B21="","",'Ввод'!B21)</f>
        <v/>
      </c>
      <c r="C17" s="6">
        <f>IF('Ввод'!J21="","",'Ввод'!J21)</f>
        <v/>
      </c>
      <c r="D17" s="6">
        <f>IF(C17="","",C17/SQRT(E17))</f>
        <v/>
      </c>
      <c r="E17" s="6">
        <f>IF(B17="","",COUNT('Ввод'!C21:E21))</f>
        <v/>
      </c>
      <c r="F17" s="6">
        <f>IF(B17="","",IF('Ввод'!$B$6=1,'Регрессия'!$B$7,'Взвешенная регрессия'!$B$120)*B17+IF('Ввод'!$B$6=1,'Регрессия'!$B$8,'Взвешенная регрессия'!$B$121))</f>
        <v/>
      </c>
      <c r="G17" s="6">
        <f>IF(B17="","",IF('Ввод'!$B$6=1,'Регрессия'!$B$6*(1/'Регрессия'!$B$2+(B17-'Регрессия'!$B$3)^2/'Регрессия'!$B$5),'Взвешенная регрессия'!$B$124*(1/'Взвешенная регрессия'!$B$115+(B17-'Взвешенная регрессия'!$B$128)^2/'Взвешенная регрессия'!$B$118)))</f>
        <v/>
      </c>
      <c r="H17" s="6">
        <f>IF(G17="","",SQRT(G17))</f>
        <v/>
      </c>
      <c r="I17" s="6">
        <f>IF(B17="","",SQRT(IF('Ввод'!$B$6=1,'Регрессия'!$B$6,'Взвешенная регрессия'!$B$124)+G17))</f>
        <v/>
      </c>
      <c r="J17" s="6">
        <f>IF(B17="","",SQRT(N(D17)^2+I17^2+(B17*'Ввод'!$B$5)^2))</f>
        <v/>
      </c>
      <c r="K17" s="6">
        <f>IF(B17="","",SQRT(IF('Ввод'!$B$6=1,'Регрессия'!$B$6*(1/E17+1/'Регрессия'!$B$2+(B17-'Регрессия'!$B$3)^2/'Регрессия'!$B$5)+'Регрессия'!$B$10+(B17-'Регрессия'!$B$3)^2*'Регрессия'!$B$9+2*(B17-'Регрессия'!$B$3)*'Регрессия'!$B$11,'Взвешенная регрессия'!$B$124*(1/E17+1/COUNTIFS('Взвешенная регрессия'!$A$11:$A$110,"&gt;=0"))+(B17-'Взвешенная регрессия'!$B$128)^2*'Взвешенная регрессия'!$B$125+'Взвешенная регрессия'!$B$126+2*(B17-'Взвешенная регрессия'!$B$128)*'Взвешенная регрессия'!$B$127)/IF('Ввод'!$B$6=1,'Регрессия'!$B$7,'Взвешенная регрессия'!$B$120)^2+(B17*'Ввод'!$B$5)^2))</f>
        <v/>
      </c>
      <c r="L17" s="6">
        <f>IF(K17="","",2*K17)</f>
        <v/>
      </c>
    </row>
    <row r="18">
      <c r="A18" s="6">
        <f>IF('Ввод'!B22="","",ROW()-4)</f>
        <v/>
      </c>
      <c r="B18" s="6">
        <f>IF('Ввод'!B22="","",'Ввод'!B22)</f>
        <v/>
      </c>
      <c r="C18" s="6">
        <f>IF('Ввод'!J22="","",'Ввод'!J22)</f>
        <v/>
      </c>
      <c r="D18" s="6">
        <f>IF(C18="","",C18/SQRT(E18))</f>
        <v/>
      </c>
      <c r="E18" s="6">
        <f>IF(B18="","",COUNT('Ввод'!C22:E22))</f>
        <v/>
      </c>
      <c r="F18" s="6">
        <f>IF(B18="","",IF('Ввод'!$B$6=1,'Регрессия'!$B$7,'Взвешенная регрессия'!$B$120)*B18+IF('Ввод'!$B$6=1,'Регрессия'!$B$8,'Взвешенная регрессия'!$B$121))</f>
        <v/>
      </c>
      <c r="G18" s="6">
        <f>IF(B18="","",IF('Ввод'!$B$6=1,'Регрессия'!$B$6*(1/'Регрессия'!$B$2+(B18-'Регрессия'!$B$3)^2/'Регрессия'!$B$5),'Взвешенная регрессия'!$B$124*(1/'Взвешенная регрессия'!$B$115+(B18-'Взвешенная регрессия'!$B$128)^2/'Взвешенная регрессия'!$B$118)))</f>
        <v/>
      </c>
      <c r="H18" s="6">
        <f>IF(G18="","",SQRT(G18))</f>
        <v/>
      </c>
      <c r="I18" s="6">
        <f>IF(B18="","",SQRT(IF('Ввод'!$B$6=1,'Регрессия'!$B$6,'Взвешенная регрессия'!$B$124)+G18))</f>
        <v/>
      </c>
      <c r="J18" s="6">
        <f>IF(B18="","",SQRT(N(D18)^2+I18^2+(B18*'Ввод'!$B$5)^2))</f>
        <v/>
      </c>
      <c r="K18" s="6">
        <f>IF(B18="","",SQRT(IF('Ввод'!$B$6=1,'Регрессия'!$B$6*(1/E18+1/'Регрессия'!$B$2+(B18-'Регрессия'!$B$3)^2/'Регрессия'!$B$5)+'Регрессия'!$B$10+(B18-'Регрессия'!$B$3)^2*'Регрессия'!$B$9+2*(B18-'Регрессия'!$B$3)*'Регрессия'!$B$11,'Взвешенная регрессия'!$B$124*(1/E18+1/COUNTIFS('Взвешенная регрессия'!$A$11:$A$110,"&gt;=0"))+(B18-'Взвешенная регрессия'!$B$128)^2*'Взвешенная регрессия'!$B$125+'Взвешенная регрессия'!$B$126+2*(B18-'Взвешенная регрессия'!$B$128)*'Взвешенная регрессия'!$B$127)/IF('Ввод'!$B$6=1,'Регрессия'!$B$7,'Взвешенная регрессия'!$B$120)^2+(B18*'Ввод'!$B$5)^2))</f>
        <v/>
      </c>
      <c r="L18" s="6">
        <f>IF(K18="","",2*K18)</f>
        <v/>
      </c>
    </row>
    <row r="19">
      <c r="A19" s="6">
        <f>IF('Ввод'!B23="","",ROW()-4)</f>
        <v/>
      </c>
      <c r="B19" s="6">
        <f>IF('Ввод'!B23="","",'Ввод'!B23)</f>
        <v/>
      </c>
      <c r="C19" s="6">
        <f>IF('Ввод'!J23="","",'Ввод'!J23)</f>
        <v/>
      </c>
      <c r="D19" s="6">
        <f>IF(C19="","",C19/SQRT(E19))</f>
        <v/>
      </c>
      <c r="E19" s="6">
        <f>IF(B19="","",COUNT('Ввод'!C23:E23))</f>
        <v/>
      </c>
      <c r="F19" s="6">
        <f>IF(B19="","",IF('Ввод'!$B$6=1,'Регрессия'!$B$7,'Взвешенная регрессия'!$B$120)*B19+IF('Ввод'!$B$6=1,'Регрессия'!$B$8,'Взвешенная регрессия'!$B$121))</f>
        <v/>
      </c>
      <c r="G19" s="6">
        <f>IF(B19="","",IF('Ввод'!$B$6=1,'Регрессия'!$B$6*(1/'Регрессия'!$B$2+(B19-'Регрессия'!$B$3)^2/'Регрессия'!$B$5),'Взвешенная регрессия'!$B$124*(1/'Взвешенная регрессия'!$B$115+(B19-'Взвешенная регрессия'!$B$128)^2/'Взвешенная регрессия'!$B$118)))</f>
        <v/>
      </c>
      <c r="H19" s="6">
        <f>IF(G19="","",SQRT(G19))</f>
        <v/>
      </c>
      <c r="I19" s="6">
        <f>IF(B19="","",SQRT(IF('Ввод'!$B$6=1,'Регрессия'!$B$6,'Взвешенная регрессия'!$B$124)+G19))</f>
        <v/>
      </c>
      <c r="J19" s="6">
        <f>IF(B19="","",SQRT(N(D19)^2+I19^2+(B19*'Ввод'!$B$5)^2))</f>
        <v/>
      </c>
      <c r="K19" s="6">
        <f>IF(B19="","",SQRT(IF('Ввод'!$B$6=1,'Регрессия'!$B$6*(1/E19+1/'Регрессия'!$B$2+(B19-'Регрессия'!$B$3)^2/'Регрессия'!$B$5)+'Регрессия'!$B$10+(B19-'Регрессия'!$B$3)^2*'Регрессия'!$B$9+2*(B19-'Регрессия'!$B$3)*'Регрессия'!$B$11,'Взвешенная регрессия'!$B$124*(1/E19+1/COUNTIFS('Взвешенная регрессия'!$A$11:$A$110,"&gt;=0"))+(B19-'Взвешенная регрессия'!$B$128)^2*'Взвешенная регрессия'!$B$125+'Взвешенная регрессия'!$B$126+2*(B19-'Взвешенная регрессия'!$B$128)*'Взвешенная регрессия'!$B$127)/IF('Ввод'!$B$6=1,'Регрессия'!$B$7,'Взвешенная регрессия'!$B$120)^2+(B19*'Ввод'!$B$5)^2))</f>
        <v/>
      </c>
      <c r="L19" s="6">
        <f>IF(K19="","",2*K19)</f>
        <v/>
      </c>
    </row>
    <row r="20">
      <c r="A20" s="6">
        <f>IF('Ввод'!B24="","",ROW()-4)</f>
        <v/>
      </c>
      <c r="B20" s="6">
        <f>IF('Ввод'!B24="","",'Ввод'!B24)</f>
        <v/>
      </c>
      <c r="C20" s="6">
        <f>IF('Ввод'!J24="","",'Ввод'!J24)</f>
        <v/>
      </c>
      <c r="D20" s="6">
        <f>IF(C20="","",C20/SQRT(E20))</f>
        <v/>
      </c>
      <c r="E20" s="6">
        <f>IF(B20="","",COUNT('Ввод'!C24:E24))</f>
        <v/>
      </c>
      <c r="F20" s="6">
        <f>IF(B20="","",IF('Ввод'!$B$6=1,'Регрессия'!$B$7,'Взвешенная регрессия'!$B$120)*B20+IF('Ввод'!$B$6=1,'Регрессия'!$B$8,'Взвешенная регрессия'!$B$121))</f>
        <v/>
      </c>
      <c r="G20" s="6">
        <f>IF(B20="","",IF('Ввод'!$B$6=1,'Регрессия'!$B$6*(1/'Регрессия'!$B$2+(B20-'Регрессия'!$B$3)^2/'Регрессия'!$B$5),'Взвешенная регрессия'!$B$124*(1/'Взвешенная регрессия'!$B$115+(B20-'Взвешенная регрессия'!$B$128)^2/'Взвешенная регрессия'!$B$118)))</f>
        <v/>
      </c>
      <c r="H20" s="6">
        <f>IF(G20="","",SQRT(G20))</f>
        <v/>
      </c>
      <c r="I20" s="6">
        <f>IF(B20="","",SQRT(IF('Ввод'!$B$6=1,'Регрессия'!$B$6,'Взвешенная регрессия'!$B$124)+G20))</f>
        <v/>
      </c>
      <c r="J20" s="6">
        <f>IF(B20="","",SQRT(N(D20)^2+I20^2+(B20*'Ввод'!$B$5)^2))</f>
        <v/>
      </c>
      <c r="K20" s="6">
        <f>IF(B20="","",SQRT(IF('Ввод'!$B$6=1,'Регрессия'!$B$6*(1/E20+1/'Регрессия'!$B$2+(B20-'Регрессия'!$B$3)^2/'Регрессия'!$B$5)+'Регрессия'!$B$10+(B20-'Регрессия'!$B$3)^2*'Регрессия'!$B$9+2*(B20-'Регрессия'!$B$3)*'Регрессия'!$B$11,'Взвешенная регрессия'!$B$124*(1/E20+1/COUNTIFS('Взвешенная регрессия'!$A$11:$A$110,"&gt;=0"))+(B20-'Взвешенная регрессия'!$B$128)^2*'Взвешенная регрессия'!$B$125+'Взвешенная регрессия'!$B$126+2*(B20-'Взвешенная регрессия'!$B$128)*'Взвешенная регрессия'!$B$127)/IF('Ввод'!$B$6=1,'Регрессия'!$B$7,'Взвешенная регрессия'!$B$120)^2+(B20*'Ввод'!$B$5)^2))</f>
        <v/>
      </c>
      <c r="L20" s="6">
        <f>IF(K20="","",2*K20)</f>
        <v/>
      </c>
    </row>
    <row r="21">
      <c r="A21" s="6">
        <f>IF('Ввод'!B25="","",ROW()-4)</f>
        <v/>
      </c>
      <c r="B21" s="6">
        <f>IF('Ввод'!B25="","",'Ввод'!B25)</f>
        <v/>
      </c>
      <c r="C21" s="6">
        <f>IF('Ввод'!J25="","",'Ввод'!J25)</f>
        <v/>
      </c>
      <c r="D21" s="6">
        <f>IF(C21="","",C21/SQRT(E21))</f>
        <v/>
      </c>
      <c r="E21" s="6">
        <f>IF(B21="","",COUNT('Ввод'!C25:E25))</f>
        <v/>
      </c>
      <c r="F21" s="6">
        <f>IF(B21="","",IF('Ввод'!$B$6=1,'Регрессия'!$B$7,'Взвешенная регрессия'!$B$120)*B21+IF('Ввод'!$B$6=1,'Регрессия'!$B$8,'Взвешенная регрессия'!$B$121))</f>
        <v/>
      </c>
      <c r="G21" s="6">
        <f>IF(B21="","",IF('Ввод'!$B$6=1,'Регрессия'!$B$6*(1/'Регрессия'!$B$2+(B21-'Регрессия'!$B$3)^2/'Регрессия'!$B$5),'Взвешенная регрессия'!$B$124*(1/'Взвешенная регрессия'!$B$115+(B21-'Взвешенная регрессия'!$B$128)^2/'Взвешенная регрессия'!$B$118)))</f>
        <v/>
      </c>
      <c r="H21" s="6">
        <f>IF(G21="","",SQRT(G21))</f>
        <v/>
      </c>
      <c r="I21" s="6">
        <f>IF(B21="","",SQRT(IF('Ввод'!$B$6=1,'Регрессия'!$B$6,'Взвешенная регрессия'!$B$124)+G21))</f>
        <v/>
      </c>
      <c r="J21" s="6">
        <f>IF(B21="","",SQRT(N(D21)^2+I21^2+(B21*'Ввод'!$B$5)^2))</f>
        <v/>
      </c>
      <c r="K21" s="6">
        <f>IF(B21="","",SQRT(IF('Ввод'!$B$6=1,'Регрессия'!$B$6*(1/E21+1/'Регрессия'!$B$2+(B21-'Регрессия'!$B$3)^2/'Регрессия'!$B$5)+'Регрессия'!$B$10+(B21-'Регрессия'!$B$3)^2*'Регрессия'!$B$9+2*(B21-'Регрессия'!$B$3)*'Регрессия'!$B$11,'Взвешенная регрессия'!$B$124*(1/E21+1/COUNTIFS('Взвешенная регрессия'!$A$11:$A$110,"&gt;=0"))+(B21-'Взвешенная регрессия'!$B$128)^2*'Взвешенная регрессия'!$B$125+'Взвешенная регрессия'!$B$126+2*(B21-'Взвешенная регрессия'!$B$128)*'Взвешенная регрессия'!$B$127)/IF('Ввод'!$B$6=1,'Регрессия'!$B$7,'Взвешенная регрессия'!$B$120)^2+(B21*'Ввод'!$B$5)^2))</f>
        <v/>
      </c>
      <c r="L21" s="6">
        <f>IF(K21="","",2*K21)</f>
        <v/>
      </c>
    </row>
    <row r="22">
      <c r="A22" s="6">
        <f>IF('Ввод'!B26="","",ROW()-4)</f>
        <v/>
      </c>
      <c r="B22" s="6">
        <f>IF('Ввод'!B26="","",'Ввод'!B26)</f>
        <v/>
      </c>
      <c r="C22" s="6">
        <f>IF('Ввод'!J26="","",'Ввод'!J26)</f>
        <v/>
      </c>
      <c r="D22" s="6">
        <f>IF(C22="","",C22/SQRT(E22))</f>
        <v/>
      </c>
      <c r="E22" s="6">
        <f>IF(B22="","",COUNT('Ввод'!C26:E26))</f>
        <v/>
      </c>
      <c r="F22" s="6">
        <f>IF(B22="","",IF('Ввод'!$B$6=1,'Регрессия'!$B$7,'Взвешенная регрессия'!$B$120)*B22+IF('Ввод'!$B$6=1,'Регрессия'!$B$8,'Взвешенная регрессия'!$B$121))</f>
        <v/>
      </c>
      <c r="G22" s="6">
        <f>IF(B22="","",IF('Ввод'!$B$6=1,'Регрессия'!$B$6*(1/'Регрессия'!$B$2+(B22-'Регрессия'!$B$3)^2/'Регрессия'!$B$5),'Взвешенная регрессия'!$B$124*(1/'Взвешенная регрессия'!$B$115+(B22-'Взвешенная регрессия'!$B$128)^2/'Взвешенная регрессия'!$B$118)))</f>
        <v/>
      </c>
      <c r="H22" s="6">
        <f>IF(G22="","",SQRT(G22))</f>
        <v/>
      </c>
      <c r="I22" s="6">
        <f>IF(B22="","",SQRT(IF('Ввод'!$B$6=1,'Регрессия'!$B$6,'Взвешенная регрессия'!$B$124)+G22))</f>
        <v/>
      </c>
      <c r="J22" s="6">
        <f>IF(B22="","",SQRT(N(D22)^2+I22^2+(B22*'Ввод'!$B$5)^2))</f>
        <v/>
      </c>
      <c r="K22" s="6">
        <f>IF(B22="","",SQRT(IF('Ввод'!$B$6=1,'Регрессия'!$B$6*(1/E22+1/'Регрессия'!$B$2+(B22-'Регрессия'!$B$3)^2/'Регрессия'!$B$5)+'Регрессия'!$B$10+(B22-'Регрессия'!$B$3)^2*'Регрессия'!$B$9+2*(B22-'Регрессия'!$B$3)*'Регрессия'!$B$11,'Взвешенная регрессия'!$B$124*(1/E22+1/COUNTIFS('Взвешенная регрессия'!$A$11:$A$110,"&gt;=0"))+(B22-'Взвешенная регрессия'!$B$128)^2*'Взвешенная регрессия'!$B$125+'Взвешенная регрессия'!$B$126+2*(B22-'Взвешенная регрессия'!$B$128)*'Взвешенная регрессия'!$B$127)/IF('Ввод'!$B$6=1,'Регрессия'!$B$7,'Взвешенная регрессия'!$B$120)^2+(B22*'Ввод'!$B$5)^2))</f>
        <v/>
      </c>
      <c r="L22" s="6">
        <f>IF(K22="","",2*K22)</f>
        <v/>
      </c>
    </row>
    <row r="23">
      <c r="A23" s="6">
        <f>IF('Ввод'!B27="","",ROW()-4)</f>
        <v/>
      </c>
      <c r="B23" s="6">
        <f>IF('Ввод'!B27="","",'Ввод'!B27)</f>
        <v/>
      </c>
      <c r="C23" s="6">
        <f>IF('Ввод'!J27="","",'Ввод'!J27)</f>
        <v/>
      </c>
      <c r="D23" s="6">
        <f>IF(C23="","",C23/SQRT(E23))</f>
        <v/>
      </c>
      <c r="E23" s="6">
        <f>IF(B23="","",COUNT('Ввод'!C27:E27))</f>
        <v/>
      </c>
      <c r="F23" s="6">
        <f>IF(B23="","",IF('Ввод'!$B$6=1,'Регрессия'!$B$7,'Взвешенная регрессия'!$B$120)*B23+IF('Ввод'!$B$6=1,'Регрессия'!$B$8,'Взвешенная регрессия'!$B$121))</f>
        <v/>
      </c>
      <c r="G23" s="6">
        <f>IF(B23="","",IF('Ввод'!$B$6=1,'Регрессия'!$B$6*(1/'Регрессия'!$B$2+(B23-'Регрессия'!$B$3)^2/'Регрессия'!$B$5),'Взвешенная регрессия'!$B$124*(1/'Взвешенная регрессия'!$B$115+(B23-'Взвешенная регрессия'!$B$128)^2/'Взвешенная регрессия'!$B$118)))</f>
        <v/>
      </c>
      <c r="H23" s="6">
        <f>IF(G23="","",SQRT(G23))</f>
        <v/>
      </c>
      <c r="I23" s="6">
        <f>IF(B23="","",SQRT(IF('Ввод'!$B$6=1,'Регрессия'!$B$6,'Взвешенная регрессия'!$B$124)+G23))</f>
        <v/>
      </c>
      <c r="J23" s="6">
        <f>IF(B23="","",SQRT(N(D23)^2+I23^2+(B23*'Ввод'!$B$5)^2))</f>
        <v/>
      </c>
      <c r="K23" s="6">
        <f>IF(B23="","",SQRT(IF('Ввод'!$B$6=1,'Регрессия'!$B$6*(1/E23+1/'Регрессия'!$B$2+(B23-'Регрессия'!$B$3)^2/'Регрессия'!$B$5)+'Регрессия'!$B$10+(B23-'Регрессия'!$B$3)^2*'Регрессия'!$B$9+2*(B23-'Регрессия'!$B$3)*'Регрессия'!$B$11,'Взвешенная регрессия'!$B$124*(1/E23+1/COUNTIFS('Взвешенная регрессия'!$A$11:$A$110,"&gt;=0"))+(B23-'Взвешенная регрессия'!$B$128)^2*'Взвешенная регрессия'!$B$125+'Взвешенная регрессия'!$B$126+2*(B23-'Взвешенная регрессия'!$B$128)*'Взвешенная регрессия'!$B$127)/IF('Ввод'!$B$6=1,'Регрессия'!$B$7,'Взвешенная регрессия'!$B$120)^2+(B23*'Ввод'!$B$5)^2))</f>
        <v/>
      </c>
      <c r="L23" s="6">
        <f>IF(K23="","",2*K23)</f>
        <v/>
      </c>
    </row>
    <row r="24">
      <c r="A24" s="6">
        <f>IF('Ввод'!B28="","",ROW()-4)</f>
        <v/>
      </c>
      <c r="B24" s="6">
        <f>IF('Ввод'!B28="","",'Ввод'!B28)</f>
        <v/>
      </c>
      <c r="C24" s="6">
        <f>IF('Ввод'!J28="","",'Ввод'!J28)</f>
        <v/>
      </c>
      <c r="D24" s="6">
        <f>IF(C24="","",C24/SQRT(E24))</f>
        <v/>
      </c>
      <c r="E24" s="6">
        <f>IF(B24="","",COUNT('Ввод'!C28:E28))</f>
        <v/>
      </c>
      <c r="F24" s="6">
        <f>IF(B24="","",IF('Ввод'!$B$6=1,'Регрессия'!$B$7,'Взвешенная регрессия'!$B$120)*B24+IF('Ввод'!$B$6=1,'Регрессия'!$B$8,'Взвешенная регрессия'!$B$121))</f>
        <v/>
      </c>
      <c r="G24" s="6">
        <f>IF(B24="","",IF('Ввод'!$B$6=1,'Регрессия'!$B$6*(1/'Регрессия'!$B$2+(B24-'Регрессия'!$B$3)^2/'Регрессия'!$B$5),'Взвешенная регрессия'!$B$124*(1/'Взвешенная регрессия'!$B$115+(B24-'Взвешенная регрессия'!$B$128)^2/'Взвешенная регрессия'!$B$118)))</f>
        <v/>
      </c>
      <c r="H24" s="6">
        <f>IF(G24="","",SQRT(G24))</f>
        <v/>
      </c>
      <c r="I24" s="6">
        <f>IF(B24="","",SQRT(IF('Ввод'!$B$6=1,'Регрессия'!$B$6,'Взвешенная регрессия'!$B$124)+G24))</f>
        <v/>
      </c>
      <c r="J24" s="6">
        <f>IF(B24="","",SQRT(N(D24)^2+I24^2+(B24*'Ввод'!$B$5)^2))</f>
        <v/>
      </c>
      <c r="K24" s="6">
        <f>IF(B24="","",SQRT(IF('Ввод'!$B$6=1,'Регрессия'!$B$6*(1/E24+1/'Регрессия'!$B$2+(B24-'Регрессия'!$B$3)^2/'Регрессия'!$B$5)+'Регрессия'!$B$10+(B24-'Регрессия'!$B$3)^2*'Регрессия'!$B$9+2*(B24-'Регрессия'!$B$3)*'Регрессия'!$B$11,'Взвешенная регрессия'!$B$124*(1/E24+1/COUNTIFS('Взвешенная регрессия'!$A$11:$A$110,"&gt;=0"))+(B24-'Взвешенная регрессия'!$B$128)^2*'Взвешенная регрессия'!$B$125+'Взвешенная регрессия'!$B$126+2*(B24-'Взвешенная регрессия'!$B$128)*'Взвешенная регрессия'!$B$127)/IF('Ввод'!$B$6=1,'Регрессия'!$B$7,'Взвешенная регрессия'!$B$120)^2+(B24*'Ввод'!$B$5)^2))</f>
        <v/>
      </c>
      <c r="L24" s="6">
        <f>IF(K24="","",2*K24)</f>
        <v/>
      </c>
    </row>
    <row r="25">
      <c r="A25" s="6">
        <f>IF('Ввод'!B29="","",ROW()-4)</f>
        <v/>
      </c>
      <c r="B25" s="6">
        <f>IF('Ввод'!B29="","",'Ввод'!B29)</f>
        <v/>
      </c>
      <c r="C25" s="6">
        <f>IF('Ввод'!J29="","",'Ввод'!J29)</f>
        <v/>
      </c>
      <c r="D25" s="6">
        <f>IF(C25="","",C25/SQRT(E25))</f>
        <v/>
      </c>
      <c r="E25" s="6">
        <f>IF(B25="","",COUNT('Ввод'!C29:E29))</f>
        <v/>
      </c>
      <c r="F25" s="6">
        <f>IF(B25="","",IF('Ввод'!$B$6=1,'Регрессия'!$B$7,'Взвешенная регрессия'!$B$120)*B25+IF('Ввод'!$B$6=1,'Регрессия'!$B$8,'Взвешенная регрессия'!$B$121))</f>
        <v/>
      </c>
      <c r="G25" s="6">
        <f>IF(B25="","",IF('Ввод'!$B$6=1,'Регрессия'!$B$6*(1/'Регрессия'!$B$2+(B25-'Регрессия'!$B$3)^2/'Регрессия'!$B$5),'Взвешенная регрессия'!$B$124*(1/'Взвешенная регрессия'!$B$115+(B25-'Взвешенная регрессия'!$B$128)^2/'Взвешенная регрессия'!$B$118)))</f>
        <v/>
      </c>
      <c r="H25" s="6">
        <f>IF(G25="","",SQRT(G25))</f>
        <v/>
      </c>
      <c r="I25" s="6">
        <f>IF(B25="","",SQRT(IF('Ввод'!$B$6=1,'Регрессия'!$B$6,'Взвешенная регрессия'!$B$124)+G25))</f>
        <v/>
      </c>
      <c r="J25" s="6">
        <f>IF(B25="","",SQRT(N(D25)^2+I25^2+(B25*'Ввод'!$B$5)^2))</f>
        <v/>
      </c>
      <c r="K25" s="6">
        <f>IF(B25="","",SQRT(IF('Ввод'!$B$6=1,'Регрессия'!$B$6*(1/E25+1/'Регрессия'!$B$2+(B25-'Регрессия'!$B$3)^2/'Регрессия'!$B$5)+'Регрессия'!$B$10+(B25-'Регрессия'!$B$3)^2*'Регрессия'!$B$9+2*(B25-'Регрессия'!$B$3)*'Регрессия'!$B$11,'Взвешенная регрессия'!$B$124*(1/E25+1/COUNTIFS('Взвешенная регрессия'!$A$11:$A$110,"&gt;=0"))+(B25-'Взвешенная регрессия'!$B$128)^2*'Взвешенная регрессия'!$B$125+'Взвешенная регрессия'!$B$126+2*(B25-'Взвешенная регрессия'!$B$128)*'Взвешенная регрессия'!$B$127)/IF('Ввод'!$B$6=1,'Регрессия'!$B$7,'Взвешенная регрессия'!$B$120)^2+(B25*'Ввод'!$B$5)^2))</f>
        <v/>
      </c>
      <c r="L25" s="6">
        <f>IF(K25="","",2*K25)</f>
        <v/>
      </c>
    </row>
    <row r="26">
      <c r="A26" s="6">
        <f>IF('Ввод'!B30="","",ROW()-4)</f>
        <v/>
      </c>
      <c r="B26" s="6">
        <f>IF('Ввод'!B30="","",'Ввод'!B30)</f>
        <v/>
      </c>
      <c r="C26" s="6">
        <f>IF('Ввод'!J30="","",'Ввод'!J30)</f>
        <v/>
      </c>
      <c r="D26" s="6">
        <f>IF(C26="","",C26/SQRT(E26))</f>
        <v/>
      </c>
      <c r="E26" s="6">
        <f>IF(B26="","",COUNT('Ввод'!C30:E30))</f>
        <v/>
      </c>
      <c r="F26" s="6">
        <f>IF(B26="","",IF('Ввод'!$B$6=1,'Регрессия'!$B$7,'Взвешенная регрессия'!$B$120)*B26+IF('Ввод'!$B$6=1,'Регрессия'!$B$8,'Взвешенная регрессия'!$B$121))</f>
        <v/>
      </c>
      <c r="G26" s="6">
        <f>IF(B26="","",IF('Ввод'!$B$6=1,'Регрессия'!$B$6*(1/'Регрессия'!$B$2+(B26-'Регрессия'!$B$3)^2/'Регрессия'!$B$5),'Взвешенная регрессия'!$B$124*(1/'Взвешенная регрессия'!$B$115+(B26-'Взвешенная регрессия'!$B$128)^2/'Взвешенная регрессия'!$B$118)))</f>
        <v/>
      </c>
      <c r="H26" s="6">
        <f>IF(G26="","",SQRT(G26))</f>
        <v/>
      </c>
      <c r="I26" s="6">
        <f>IF(B26="","",SQRT(IF('Ввод'!$B$6=1,'Регрессия'!$B$6,'Взвешенная регрессия'!$B$124)+G26))</f>
        <v/>
      </c>
      <c r="J26" s="6">
        <f>IF(B26="","",SQRT(N(D26)^2+I26^2+(B26*'Ввод'!$B$5)^2))</f>
        <v/>
      </c>
      <c r="K26" s="6">
        <f>IF(B26="","",SQRT(IF('Ввод'!$B$6=1,'Регрессия'!$B$6*(1/E26+1/'Регрессия'!$B$2+(B26-'Регрессия'!$B$3)^2/'Регрессия'!$B$5)+'Регрессия'!$B$10+(B26-'Регрессия'!$B$3)^2*'Регрессия'!$B$9+2*(B26-'Регрессия'!$B$3)*'Регрессия'!$B$11,'Взвешенная регрессия'!$B$124*(1/E26+1/COUNTIFS('Взвешенная регрессия'!$A$11:$A$110,"&gt;=0"))+(B26-'Взвешенная регрессия'!$B$128)^2*'Взвешенная регрессия'!$B$125+'Взвешенная регрессия'!$B$126+2*(B26-'Взвешенная регрессия'!$B$128)*'Взвешенная регрессия'!$B$127)/IF('Ввод'!$B$6=1,'Регрессия'!$B$7,'Взвешенная регрессия'!$B$120)^2+(B26*'Ввод'!$B$5)^2))</f>
        <v/>
      </c>
      <c r="L26" s="6">
        <f>IF(K26="","",2*K26)</f>
        <v/>
      </c>
    </row>
    <row r="27">
      <c r="A27" s="6">
        <f>IF('Ввод'!B31="","",ROW()-4)</f>
        <v/>
      </c>
      <c r="B27" s="6">
        <f>IF('Ввод'!B31="","",'Ввод'!B31)</f>
        <v/>
      </c>
      <c r="C27" s="6">
        <f>IF('Ввод'!J31="","",'Ввод'!J31)</f>
        <v/>
      </c>
      <c r="D27" s="6">
        <f>IF(C27="","",C27/SQRT(E27))</f>
        <v/>
      </c>
      <c r="E27" s="6">
        <f>IF(B27="","",COUNT('Ввод'!C31:E31))</f>
        <v/>
      </c>
      <c r="F27" s="6">
        <f>IF(B27="","",IF('Ввод'!$B$6=1,'Регрессия'!$B$7,'Взвешенная регрессия'!$B$120)*B27+IF('Ввод'!$B$6=1,'Регрессия'!$B$8,'Взвешенная регрессия'!$B$121))</f>
        <v/>
      </c>
      <c r="G27" s="6">
        <f>IF(B27="","",IF('Ввод'!$B$6=1,'Регрессия'!$B$6*(1/'Регрессия'!$B$2+(B27-'Регрессия'!$B$3)^2/'Регрессия'!$B$5),'Взвешенная регрессия'!$B$124*(1/'Взвешенная регрессия'!$B$115+(B27-'Взвешенная регрессия'!$B$128)^2/'Взвешенная регрессия'!$B$118)))</f>
        <v/>
      </c>
      <c r="H27" s="6">
        <f>IF(G27="","",SQRT(G27))</f>
        <v/>
      </c>
      <c r="I27" s="6">
        <f>IF(B27="","",SQRT(IF('Ввод'!$B$6=1,'Регрессия'!$B$6,'Взвешенная регрессия'!$B$124)+G27))</f>
        <v/>
      </c>
      <c r="J27" s="6">
        <f>IF(B27="","",SQRT(N(D27)^2+I27^2+(B27*'Ввод'!$B$5)^2))</f>
        <v/>
      </c>
      <c r="K27" s="6">
        <f>IF(B27="","",SQRT(IF('Ввод'!$B$6=1,'Регрессия'!$B$6*(1/E27+1/'Регрессия'!$B$2+(B27-'Регрессия'!$B$3)^2/'Регрессия'!$B$5)+'Регрессия'!$B$10+(B27-'Регрессия'!$B$3)^2*'Регрессия'!$B$9+2*(B27-'Регрессия'!$B$3)*'Регрессия'!$B$11,'Взвешенная регрессия'!$B$124*(1/E27+1/COUNTIFS('Взвешенная регрессия'!$A$11:$A$110,"&gt;=0"))+(B27-'Взвешенная регрессия'!$B$128)^2*'Взвешенная регрессия'!$B$125+'Взвешенная регрессия'!$B$126+2*(B27-'Взвешенная регрессия'!$B$128)*'Взвешенная регрессия'!$B$127)/IF('Ввод'!$B$6=1,'Регрессия'!$B$7,'Взвешенная регрессия'!$B$120)^2+(B27*'Ввод'!$B$5)^2))</f>
        <v/>
      </c>
      <c r="L27" s="6">
        <f>IF(K27="","",2*K27)</f>
        <v/>
      </c>
    </row>
    <row r="28">
      <c r="A28" s="6">
        <f>IF('Ввод'!B32="","",ROW()-4)</f>
        <v/>
      </c>
      <c r="B28" s="6">
        <f>IF('Ввод'!B32="","",'Ввод'!B32)</f>
        <v/>
      </c>
      <c r="C28" s="6">
        <f>IF('Ввод'!J32="","",'Ввод'!J32)</f>
        <v/>
      </c>
      <c r="D28" s="6">
        <f>IF(C28="","",C28/SQRT(E28))</f>
        <v/>
      </c>
      <c r="E28" s="6">
        <f>IF(B28="","",COUNT('Ввод'!C32:E32))</f>
        <v/>
      </c>
      <c r="F28" s="6">
        <f>IF(B28="","",IF('Ввод'!$B$6=1,'Регрессия'!$B$7,'Взвешенная регрессия'!$B$120)*B28+IF('Ввод'!$B$6=1,'Регрессия'!$B$8,'Взвешенная регрессия'!$B$121))</f>
        <v/>
      </c>
      <c r="G28" s="6">
        <f>IF(B28="","",IF('Ввод'!$B$6=1,'Регрессия'!$B$6*(1/'Регрессия'!$B$2+(B28-'Регрессия'!$B$3)^2/'Регрессия'!$B$5),'Взвешенная регрессия'!$B$124*(1/'Взвешенная регрессия'!$B$115+(B28-'Взвешенная регрессия'!$B$128)^2/'Взвешенная регрессия'!$B$118)))</f>
        <v/>
      </c>
      <c r="H28" s="6">
        <f>IF(G28="","",SQRT(G28))</f>
        <v/>
      </c>
      <c r="I28" s="6">
        <f>IF(B28="","",SQRT(IF('Ввод'!$B$6=1,'Регрессия'!$B$6,'Взвешенная регрессия'!$B$124)+G28))</f>
        <v/>
      </c>
      <c r="J28" s="6">
        <f>IF(B28="","",SQRT(N(D28)^2+I28^2+(B28*'Ввод'!$B$5)^2))</f>
        <v/>
      </c>
      <c r="K28" s="6">
        <f>IF(B28="","",SQRT(IF('Ввод'!$B$6=1,'Регрессия'!$B$6*(1/E28+1/'Регрессия'!$B$2+(B28-'Регрессия'!$B$3)^2/'Регрессия'!$B$5)+'Регрессия'!$B$10+(B28-'Регрессия'!$B$3)^2*'Регрессия'!$B$9+2*(B28-'Регрессия'!$B$3)*'Регрессия'!$B$11,'Взвешенная регрессия'!$B$124*(1/E28+1/COUNTIFS('Взвешенная регрессия'!$A$11:$A$110,"&gt;=0"))+(B28-'Взвешенная регрессия'!$B$128)^2*'Взвешенная регрессия'!$B$125+'Взвешенная регрессия'!$B$126+2*(B28-'Взвешенная регрессия'!$B$128)*'Взвешенная регрессия'!$B$127)/IF('Ввод'!$B$6=1,'Регрессия'!$B$7,'Взвешенная регрессия'!$B$120)^2+(B28*'Ввод'!$B$5)^2))</f>
        <v/>
      </c>
      <c r="L28" s="6">
        <f>IF(K28="","",2*K28)</f>
        <v/>
      </c>
    </row>
    <row r="29">
      <c r="A29" s="6">
        <f>IF('Ввод'!B33="","",ROW()-4)</f>
        <v/>
      </c>
      <c r="B29" s="6">
        <f>IF('Ввод'!B33="","",'Ввод'!B33)</f>
        <v/>
      </c>
      <c r="C29" s="6">
        <f>IF('Ввод'!J33="","",'Ввод'!J33)</f>
        <v/>
      </c>
      <c r="D29" s="6">
        <f>IF(C29="","",C29/SQRT(E29))</f>
        <v/>
      </c>
      <c r="E29" s="6">
        <f>IF(B29="","",COUNT('Ввод'!C33:E33))</f>
        <v/>
      </c>
      <c r="F29" s="6">
        <f>IF(B29="","",IF('Ввод'!$B$6=1,'Регрессия'!$B$7,'Взвешенная регрессия'!$B$120)*B29+IF('Ввод'!$B$6=1,'Регрессия'!$B$8,'Взвешенная регрессия'!$B$121))</f>
        <v/>
      </c>
      <c r="G29" s="6">
        <f>IF(B29="","",IF('Ввод'!$B$6=1,'Регрессия'!$B$6*(1/'Регрессия'!$B$2+(B29-'Регрессия'!$B$3)^2/'Регрессия'!$B$5),'Взвешенная регрессия'!$B$124*(1/'Взвешенная регрессия'!$B$115+(B29-'Взвешенная регрессия'!$B$128)^2/'Взвешенная регрессия'!$B$118)))</f>
        <v/>
      </c>
      <c r="H29" s="6">
        <f>IF(G29="","",SQRT(G29))</f>
        <v/>
      </c>
      <c r="I29" s="6">
        <f>IF(B29="","",SQRT(IF('Ввод'!$B$6=1,'Регрессия'!$B$6,'Взвешенная регрессия'!$B$124)+G29))</f>
        <v/>
      </c>
      <c r="J29" s="6">
        <f>IF(B29="","",SQRT(N(D29)^2+I29^2+(B29*'Ввод'!$B$5)^2))</f>
        <v/>
      </c>
      <c r="K29" s="6">
        <f>IF(B29="","",SQRT(IF('Ввод'!$B$6=1,'Регрессия'!$B$6*(1/E29+1/'Регрессия'!$B$2+(B29-'Регрессия'!$B$3)^2/'Регрессия'!$B$5)+'Регрессия'!$B$10+(B29-'Регрессия'!$B$3)^2*'Регрессия'!$B$9+2*(B29-'Регрессия'!$B$3)*'Регрессия'!$B$11,'Взвешенная регрессия'!$B$124*(1/E29+1/COUNTIFS('Взвешенная регрессия'!$A$11:$A$110,"&gt;=0"))+(B29-'Взвешенная регрессия'!$B$128)^2*'Взвешенная регрессия'!$B$125+'Взвешенная регрессия'!$B$126+2*(B29-'Взвешенная регрессия'!$B$128)*'Взвешенная регрессия'!$B$127)/IF('Ввод'!$B$6=1,'Регрессия'!$B$7,'Взвешенная регрессия'!$B$120)^2+(B29*'Ввод'!$B$5)^2))</f>
        <v/>
      </c>
      <c r="L29" s="6">
        <f>IF(K29="","",2*K29)</f>
        <v/>
      </c>
    </row>
    <row r="30">
      <c r="A30" s="6">
        <f>IF('Ввод'!B34="","",ROW()-4)</f>
        <v/>
      </c>
      <c r="B30" s="6">
        <f>IF('Ввод'!B34="","",'Ввод'!B34)</f>
        <v/>
      </c>
      <c r="C30" s="6">
        <f>IF('Ввод'!J34="","",'Ввод'!J34)</f>
        <v/>
      </c>
      <c r="D30" s="6">
        <f>IF(C30="","",C30/SQRT(E30))</f>
        <v/>
      </c>
      <c r="E30" s="6">
        <f>IF(B30="","",COUNT('Ввод'!C34:E34))</f>
        <v/>
      </c>
      <c r="F30" s="6">
        <f>IF(B30="","",IF('Ввод'!$B$6=1,'Регрессия'!$B$7,'Взвешенная регрессия'!$B$120)*B30+IF('Ввод'!$B$6=1,'Регрессия'!$B$8,'Взвешенная регрессия'!$B$121))</f>
        <v/>
      </c>
      <c r="G30" s="6">
        <f>IF(B30="","",IF('Ввод'!$B$6=1,'Регрессия'!$B$6*(1/'Регрессия'!$B$2+(B30-'Регрессия'!$B$3)^2/'Регрессия'!$B$5),'Взвешенная регрессия'!$B$124*(1/'Взвешенная регрессия'!$B$115+(B30-'Взвешенная регрессия'!$B$128)^2/'Взвешенная регрессия'!$B$118)))</f>
        <v/>
      </c>
      <c r="H30" s="6">
        <f>IF(G30="","",SQRT(G30))</f>
        <v/>
      </c>
      <c r="I30" s="6">
        <f>IF(B30="","",SQRT(IF('Ввод'!$B$6=1,'Регрессия'!$B$6,'Взвешенная регрессия'!$B$124)+G30))</f>
        <v/>
      </c>
      <c r="J30" s="6">
        <f>IF(B30="","",SQRT(N(D30)^2+I30^2+(B30*'Ввод'!$B$5)^2))</f>
        <v/>
      </c>
      <c r="K30" s="6">
        <f>IF(B30="","",SQRT(IF('Ввод'!$B$6=1,'Регрессия'!$B$6*(1/E30+1/'Регрессия'!$B$2+(B30-'Регрессия'!$B$3)^2/'Регрессия'!$B$5)+'Регрессия'!$B$10+(B30-'Регрессия'!$B$3)^2*'Регрессия'!$B$9+2*(B30-'Регрессия'!$B$3)*'Регрессия'!$B$11,'Взвешенная регрессия'!$B$124*(1/E30+1/COUNTIFS('Взвешенная регрессия'!$A$11:$A$110,"&gt;=0"))+(B30-'Взвешенная регрессия'!$B$128)^2*'Взвешенная регрессия'!$B$125+'Взвешенная регрессия'!$B$126+2*(B30-'Взвешенная регрессия'!$B$128)*'Взвешенная регрессия'!$B$127)/IF('Ввод'!$B$6=1,'Регрессия'!$B$7,'Взвешенная регрессия'!$B$120)^2+(B30*'Ввод'!$B$5)^2))</f>
        <v/>
      </c>
      <c r="L30" s="6">
        <f>IF(K30="","",2*K30)</f>
        <v/>
      </c>
    </row>
    <row r="31">
      <c r="A31" s="6">
        <f>IF('Ввод'!B35="","",ROW()-4)</f>
        <v/>
      </c>
      <c r="B31" s="6">
        <f>IF('Ввод'!B35="","",'Ввод'!B35)</f>
        <v/>
      </c>
      <c r="C31" s="6">
        <f>IF('Ввод'!J35="","",'Ввод'!J35)</f>
        <v/>
      </c>
      <c r="D31" s="6">
        <f>IF(C31="","",C31/SQRT(E31))</f>
        <v/>
      </c>
      <c r="E31" s="6">
        <f>IF(B31="","",COUNT('Ввод'!C35:E35))</f>
        <v/>
      </c>
      <c r="F31" s="6">
        <f>IF(B31="","",IF('Ввод'!$B$6=1,'Регрессия'!$B$7,'Взвешенная регрессия'!$B$120)*B31+IF('Ввод'!$B$6=1,'Регрессия'!$B$8,'Взвешенная регрессия'!$B$121))</f>
        <v/>
      </c>
      <c r="G31" s="6">
        <f>IF(B31="","",IF('Ввод'!$B$6=1,'Регрессия'!$B$6*(1/'Регрессия'!$B$2+(B31-'Регрессия'!$B$3)^2/'Регрессия'!$B$5),'Взвешенная регрессия'!$B$124*(1/'Взвешенная регрессия'!$B$115+(B31-'Взвешенная регрессия'!$B$128)^2/'Взвешенная регрессия'!$B$118)))</f>
        <v/>
      </c>
      <c r="H31" s="6">
        <f>IF(G31="","",SQRT(G31))</f>
        <v/>
      </c>
      <c r="I31" s="6">
        <f>IF(B31="","",SQRT(IF('Ввод'!$B$6=1,'Регрессия'!$B$6,'Взвешенная регрессия'!$B$124)+G31))</f>
        <v/>
      </c>
      <c r="J31" s="6">
        <f>IF(B31="","",SQRT(N(D31)^2+I31^2+(B31*'Ввод'!$B$5)^2))</f>
        <v/>
      </c>
      <c r="K31" s="6">
        <f>IF(B31="","",SQRT(IF('Ввод'!$B$6=1,'Регрессия'!$B$6*(1/E31+1/'Регрессия'!$B$2+(B31-'Регрессия'!$B$3)^2/'Регрессия'!$B$5)+'Регрессия'!$B$10+(B31-'Регрессия'!$B$3)^2*'Регрессия'!$B$9+2*(B31-'Регрессия'!$B$3)*'Регрессия'!$B$11,'Взвешенная регрессия'!$B$124*(1/E31+1/COUNTIFS('Взвешенная регрессия'!$A$11:$A$110,"&gt;=0"))+(B31-'Взвешенная регрессия'!$B$128)^2*'Взвешенная регрессия'!$B$125+'Взвешенная регрессия'!$B$126+2*(B31-'Взвешенная регрессия'!$B$128)*'Взвешенная регрессия'!$B$127)/IF('Ввод'!$B$6=1,'Регрессия'!$B$7,'Взвешенная регрессия'!$B$120)^2+(B31*'Ввод'!$B$5)^2))</f>
        <v/>
      </c>
      <c r="L31" s="6">
        <f>IF(K31="","",2*K31)</f>
        <v/>
      </c>
    </row>
    <row r="32">
      <c r="A32" s="6">
        <f>IF('Ввод'!B36="","",ROW()-4)</f>
        <v/>
      </c>
      <c r="B32" s="6">
        <f>IF('Ввод'!B36="","",'Ввод'!B36)</f>
        <v/>
      </c>
      <c r="C32" s="6">
        <f>IF('Ввод'!J36="","",'Ввод'!J36)</f>
        <v/>
      </c>
      <c r="D32" s="6">
        <f>IF(C32="","",C32/SQRT(E32))</f>
        <v/>
      </c>
      <c r="E32" s="6">
        <f>IF(B32="","",COUNT('Ввод'!C36:E36))</f>
        <v/>
      </c>
      <c r="F32" s="6">
        <f>IF(B32="","",IF('Ввод'!$B$6=1,'Регрессия'!$B$7,'Взвешенная регрессия'!$B$120)*B32+IF('Ввод'!$B$6=1,'Регрессия'!$B$8,'Взвешенная регрессия'!$B$121))</f>
        <v/>
      </c>
      <c r="G32" s="6">
        <f>IF(B32="","",IF('Ввод'!$B$6=1,'Регрессия'!$B$6*(1/'Регрессия'!$B$2+(B32-'Регрессия'!$B$3)^2/'Регрессия'!$B$5),'Взвешенная регрессия'!$B$124*(1/'Взвешенная регрессия'!$B$115+(B32-'Взвешенная регрессия'!$B$128)^2/'Взвешенная регрессия'!$B$118)))</f>
        <v/>
      </c>
      <c r="H32" s="6">
        <f>IF(G32="","",SQRT(G32))</f>
        <v/>
      </c>
      <c r="I32" s="6">
        <f>IF(B32="","",SQRT(IF('Ввод'!$B$6=1,'Регрессия'!$B$6,'Взвешенная регрессия'!$B$124)+G32))</f>
        <v/>
      </c>
      <c r="J32" s="6">
        <f>IF(B32="","",SQRT(N(D32)^2+I32^2+(B32*'Ввод'!$B$5)^2))</f>
        <v/>
      </c>
      <c r="K32" s="6">
        <f>IF(B32="","",SQRT(IF('Ввод'!$B$6=1,'Регрессия'!$B$6*(1/E32+1/'Регрессия'!$B$2+(B32-'Регрессия'!$B$3)^2/'Регрессия'!$B$5)+'Регрессия'!$B$10+(B32-'Регрессия'!$B$3)^2*'Регрессия'!$B$9+2*(B32-'Регрессия'!$B$3)*'Регрессия'!$B$11,'Взвешенная регрессия'!$B$124*(1/E32+1/COUNTIFS('Взвешенная регрессия'!$A$11:$A$110,"&gt;=0"))+(B32-'Взвешенная регрессия'!$B$128)^2*'Взвешенная регрессия'!$B$125+'Взвешенная регрессия'!$B$126+2*(B32-'Взвешенная регрессия'!$B$128)*'Взвешенная регрессия'!$B$127)/IF('Ввод'!$B$6=1,'Регрессия'!$B$7,'Взвешенная регрессия'!$B$120)^2+(B32*'Ввод'!$B$5)^2))</f>
        <v/>
      </c>
      <c r="L32" s="6">
        <f>IF(K32="","",2*K32)</f>
        <v/>
      </c>
    </row>
    <row r="33">
      <c r="A33" s="6">
        <f>IF('Ввод'!B37="","",ROW()-4)</f>
        <v/>
      </c>
      <c r="B33" s="6">
        <f>IF('Ввод'!B37="","",'Ввод'!B37)</f>
        <v/>
      </c>
      <c r="C33" s="6">
        <f>IF('Ввод'!J37="","",'Ввод'!J37)</f>
        <v/>
      </c>
      <c r="D33" s="6">
        <f>IF(C33="","",C33/SQRT(E33))</f>
        <v/>
      </c>
      <c r="E33" s="6">
        <f>IF(B33="","",COUNT('Ввод'!C37:E37))</f>
        <v/>
      </c>
      <c r="F33" s="6">
        <f>IF(B33="","",IF('Ввод'!$B$6=1,'Регрессия'!$B$7,'Взвешенная регрессия'!$B$120)*B33+IF('Ввод'!$B$6=1,'Регрессия'!$B$8,'Взвешенная регрессия'!$B$121))</f>
        <v/>
      </c>
      <c r="G33" s="6">
        <f>IF(B33="","",IF('Ввод'!$B$6=1,'Регрессия'!$B$6*(1/'Регрессия'!$B$2+(B33-'Регрессия'!$B$3)^2/'Регрессия'!$B$5),'Взвешенная регрессия'!$B$124*(1/'Взвешенная регрессия'!$B$115+(B33-'Взвешенная регрессия'!$B$128)^2/'Взвешенная регрессия'!$B$118)))</f>
        <v/>
      </c>
      <c r="H33" s="6">
        <f>IF(G33="","",SQRT(G33))</f>
        <v/>
      </c>
      <c r="I33" s="6">
        <f>IF(B33="","",SQRT(IF('Ввод'!$B$6=1,'Регрессия'!$B$6,'Взвешенная регрессия'!$B$124)+G33))</f>
        <v/>
      </c>
      <c r="J33" s="6">
        <f>IF(B33="","",SQRT(N(D33)^2+I33^2+(B33*'Ввод'!$B$5)^2))</f>
        <v/>
      </c>
      <c r="K33" s="6">
        <f>IF(B33="","",SQRT(IF('Ввод'!$B$6=1,'Регрессия'!$B$6*(1/E33+1/'Регрессия'!$B$2+(B33-'Регрессия'!$B$3)^2/'Регрессия'!$B$5)+'Регрессия'!$B$10+(B33-'Регрессия'!$B$3)^2*'Регрессия'!$B$9+2*(B33-'Регрессия'!$B$3)*'Регрессия'!$B$11,'Взвешенная регрессия'!$B$124*(1/E33+1/COUNTIFS('Взвешенная регрессия'!$A$11:$A$110,"&gt;=0"))+(B33-'Взвешенная регрессия'!$B$128)^2*'Взвешенная регрессия'!$B$125+'Взвешенная регрессия'!$B$126+2*(B33-'Взвешенная регрессия'!$B$128)*'Взвешенная регрессия'!$B$127)/IF('Ввод'!$B$6=1,'Регрессия'!$B$7,'Взвешенная регрессия'!$B$120)^2+(B33*'Ввод'!$B$5)^2))</f>
        <v/>
      </c>
      <c r="L33" s="6">
        <f>IF(K33="","",2*K33)</f>
        <v/>
      </c>
    </row>
    <row r="34">
      <c r="A34" s="6">
        <f>IF('Ввод'!B38="","",ROW()-4)</f>
        <v/>
      </c>
      <c r="B34" s="6">
        <f>IF('Ввод'!B38="","",'Ввод'!B38)</f>
        <v/>
      </c>
      <c r="C34" s="6">
        <f>IF('Ввод'!J38="","",'Ввод'!J38)</f>
        <v/>
      </c>
      <c r="D34" s="6">
        <f>IF(C34="","",C34/SQRT(E34))</f>
        <v/>
      </c>
      <c r="E34" s="6">
        <f>IF(B34="","",COUNT('Ввод'!C38:E38))</f>
        <v/>
      </c>
      <c r="F34" s="6">
        <f>IF(B34="","",IF('Ввод'!$B$6=1,'Регрессия'!$B$7,'Взвешенная регрессия'!$B$120)*B34+IF('Ввод'!$B$6=1,'Регрессия'!$B$8,'Взвешенная регрессия'!$B$121))</f>
        <v/>
      </c>
      <c r="G34" s="6">
        <f>IF(B34="","",IF('Ввод'!$B$6=1,'Регрессия'!$B$6*(1/'Регрессия'!$B$2+(B34-'Регрессия'!$B$3)^2/'Регрессия'!$B$5),'Взвешенная регрессия'!$B$124*(1/'Взвешенная регрессия'!$B$115+(B34-'Взвешенная регрессия'!$B$128)^2/'Взвешенная регрессия'!$B$118)))</f>
        <v/>
      </c>
      <c r="H34" s="6">
        <f>IF(G34="","",SQRT(G34))</f>
        <v/>
      </c>
      <c r="I34" s="6">
        <f>IF(B34="","",SQRT(IF('Ввод'!$B$6=1,'Регрессия'!$B$6,'Взвешенная регрессия'!$B$124)+G34))</f>
        <v/>
      </c>
      <c r="J34" s="6">
        <f>IF(B34="","",SQRT(N(D34)^2+I34^2+(B34*'Ввод'!$B$5)^2))</f>
        <v/>
      </c>
      <c r="K34" s="6">
        <f>IF(B34="","",SQRT(IF('Ввод'!$B$6=1,'Регрессия'!$B$6*(1/E34+1/'Регрессия'!$B$2+(B34-'Регрессия'!$B$3)^2/'Регрессия'!$B$5)+'Регрессия'!$B$10+(B34-'Регрессия'!$B$3)^2*'Регрессия'!$B$9+2*(B34-'Регрессия'!$B$3)*'Регрессия'!$B$11,'Взвешенная регрессия'!$B$124*(1/E34+1/COUNTIFS('Взвешенная регрессия'!$A$11:$A$110,"&gt;=0"))+(B34-'Взвешенная регрессия'!$B$128)^2*'Взвешенная регрессия'!$B$125+'Взвешенная регрессия'!$B$126+2*(B34-'Взвешенная регрессия'!$B$128)*'Взвешенная регрессия'!$B$127)/IF('Ввод'!$B$6=1,'Регрессия'!$B$7,'Взвешенная регрессия'!$B$120)^2+(B34*'Ввод'!$B$5)^2))</f>
        <v/>
      </c>
      <c r="L34" s="6">
        <f>IF(K34="","",2*K34)</f>
        <v/>
      </c>
    </row>
    <row r="35">
      <c r="A35" s="6">
        <f>IF('Ввод'!B39="","",ROW()-4)</f>
        <v/>
      </c>
      <c r="B35" s="6">
        <f>IF('Ввод'!B39="","",'Ввод'!B39)</f>
        <v/>
      </c>
      <c r="C35" s="6">
        <f>IF('Ввод'!J39="","",'Ввод'!J39)</f>
        <v/>
      </c>
      <c r="D35" s="6">
        <f>IF(C35="","",C35/SQRT(E35))</f>
        <v/>
      </c>
      <c r="E35" s="6">
        <f>IF(B35="","",COUNT('Ввод'!C39:E39))</f>
        <v/>
      </c>
      <c r="F35" s="6">
        <f>IF(B35="","",IF('Ввод'!$B$6=1,'Регрессия'!$B$7,'Взвешенная регрессия'!$B$120)*B35+IF('Ввод'!$B$6=1,'Регрессия'!$B$8,'Взвешенная регрессия'!$B$121))</f>
        <v/>
      </c>
      <c r="G35" s="6">
        <f>IF(B35="","",IF('Ввод'!$B$6=1,'Регрессия'!$B$6*(1/'Регрессия'!$B$2+(B35-'Регрессия'!$B$3)^2/'Регрессия'!$B$5),'Взвешенная регрессия'!$B$124*(1/'Взвешенная регрессия'!$B$115+(B35-'Взвешенная регрессия'!$B$128)^2/'Взвешенная регрессия'!$B$118)))</f>
        <v/>
      </c>
      <c r="H35" s="6">
        <f>IF(G35="","",SQRT(G35))</f>
        <v/>
      </c>
      <c r="I35" s="6">
        <f>IF(B35="","",SQRT(IF('Ввод'!$B$6=1,'Регрессия'!$B$6,'Взвешенная регрессия'!$B$124)+G35))</f>
        <v/>
      </c>
      <c r="J35" s="6">
        <f>IF(B35="","",SQRT(N(D35)^2+I35^2+(B35*'Ввод'!$B$5)^2))</f>
        <v/>
      </c>
      <c r="K35" s="6">
        <f>IF(B35="","",SQRT(IF('Ввод'!$B$6=1,'Регрессия'!$B$6*(1/E35+1/'Регрессия'!$B$2+(B35-'Регрессия'!$B$3)^2/'Регрессия'!$B$5)+'Регрессия'!$B$10+(B35-'Регрессия'!$B$3)^2*'Регрессия'!$B$9+2*(B35-'Регрессия'!$B$3)*'Регрессия'!$B$11,'Взвешенная регрессия'!$B$124*(1/E35+1/COUNTIFS('Взвешенная регрессия'!$A$11:$A$110,"&gt;=0"))+(B35-'Взвешенная регрессия'!$B$128)^2*'Взвешенная регрессия'!$B$125+'Взвешенная регрессия'!$B$126+2*(B35-'Взвешенная регрессия'!$B$128)*'Взвешенная регрессия'!$B$127)/IF('Ввод'!$B$6=1,'Регрессия'!$B$7,'Взвешенная регрессия'!$B$120)^2+(B35*'Ввод'!$B$5)^2))</f>
        <v/>
      </c>
      <c r="L35" s="6">
        <f>IF(K35="","",2*K35)</f>
        <v/>
      </c>
    </row>
    <row r="36">
      <c r="A36" s="6">
        <f>IF('Ввод'!B40="","",ROW()-4)</f>
        <v/>
      </c>
      <c r="B36" s="6">
        <f>IF('Ввод'!B40="","",'Ввод'!B40)</f>
        <v/>
      </c>
      <c r="C36" s="6">
        <f>IF('Ввод'!J40="","",'Ввод'!J40)</f>
        <v/>
      </c>
      <c r="D36" s="6">
        <f>IF(C36="","",C36/SQRT(E36))</f>
        <v/>
      </c>
      <c r="E36" s="6">
        <f>IF(B36="","",COUNT('Ввод'!C40:E40))</f>
        <v/>
      </c>
      <c r="F36" s="6">
        <f>IF(B36="","",IF('Ввод'!$B$6=1,'Регрессия'!$B$7,'Взвешенная регрессия'!$B$120)*B36+IF('Ввод'!$B$6=1,'Регрессия'!$B$8,'Взвешенная регрессия'!$B$121))</f>
        <v/>
      </c>
      <c r="G36" s="6">
        <f>IF(B36="","",IF('Ввод'!$B$6=1,'Регрессия'!$B$6*(1/'Регрессия'!$B$2+(B36-'Регрессия'!$B$3)^2/'Регрессия'!$B$5),'Взвешенная регрессия'!$B$124*(1/'Взвешенная регрессия'!$B$115+(B36-'Взвешенная регрессия'!$B$128)^2/'Взвешенная регрессия'!$B$118)))</f>
        <v/>
      </c>
      <c r="H36" s="6">
        <f>IF(G36="","",SQRT(G36))</f>
        <v/>
      </c>
      <c r="I36" s="6">
        <f>IF(B36="","",SQRT(IF('Ввод'!$B$6=1,'Регрессия'!$B$6,'Взвешенная регрессия'!$B$124)+G36))</f>
        <v/>
      </c>
      <c r="J36" s="6">
        <f>IF(B36="","",SQRT(N(D36)^2+I36^2+(B36*'Ввод'!$B$5)^2))</f>
        <v/>
      </c>
      <c r="K36" s="6">
        <f>IF(B36="","",SQRT(IF('Ввод'!$B$6=1,'Регрессия'!$B$6*(1/E36+1/'Регрессия'!$B$2+(B36-'Регрессия'!$B$3)^2/'Регрессия'!$B$5)+'Регрессия'!$B$10+(B36-'Регрессия'!$B$3)^2*'Регрессия'!$B$9+2*(B36-'Регрессия'!$B$3)*'Регрессия'!$B$11,'Взвешенная регрессия'!$B$124*(1/E36+1/COUNTIFS('Взвешенная регрессия'!$A$11:$A$110,"&gt;=0"))+(B36-'Взвешенная регрессия'!$B$128)^2*'Взвешенная регрессия'!$B$125+'Взвешенная регрессия'!$B$126+2*(B36-'Взвешенная регрессия'!$B$128)*'Взвешенная регрессия'!$B$127)/IF('Ввод'!$B$6=1,'Регрессия'!$B$7,'Взвешенная регрессия'!$B$120)^2+(B36*'Ввод'!$B$5)^2))</f>
        <v/>
      </c>
      <c r="L36" s="6">
        <f>IF(K36="","",2*K36)</f>
        <v/>
      </c>
    </row>
    <row r="37">
      <c r="A37" s="6">
        <f>IF('Ввод'!B41="","",ROW()-4)</f>
        <v/>
      </c>
      <c r="B37" s="6">
        <f>IF('Ввод'!B41="","",'Ввод'!B41)</f>
        <v/>
      </c>
      <c r="C37" s="6">
        <f>IF('Ввод'!J41="","",'Ввод'!J41)</f>
        <v/>
      </c>
      <c r="D37" s="6">
        <f>IF(C37="","",C37/SQRT(E37))</f>
        <v/>
      </c>
      <c r="E37" s="6">
        <f>IF(B37="","",COUNT('Ввод'!C41:E41))</f>
        <v/>
      </c>
      <c r="F37" s="6">
        <f>IF(B37="","",IF('Ввод'!$B$6=1,'Регрессия'!$B$7,'Взвешенная регрессия'!$B$120)*B37+IF('Ввод'!$B$6=1,'Регрессия'!$B$8,'Взвешенная регрессия'!$B$121))</f>
        <v/>
      </c>
      <c r="G37" s="6">
        <f>IF(B37="","",IF('Ввод'!$B$6=1,'Регрессия'!$B$6*(1/'Регрессия'!$B$2+(B37-'Регрессия'!$B$3)^2/'Регрессия'!$B$5),'Взвешенная регрессия'!$B$124*(1/'Взвешенная регрессия'!$B$115+(B37-'Взвешенная регрессия'!$B$128)^2/'Взвешенная регрессия'!$B$118)))</f>
        <v/>
      </c>
      <c r="H37" s="6">
        <f>IF(G37="","",SQRT(G37))</f>
        <v/>
      </c>
      <c r="I37" s="6">
        <f>IF(B37="","",SQRT(IF('Ввод'!$B$6=1,'Регрессия'!$B$6,'Взвешенная регрессия'!$B$124)+G37))</f>
        <v/>
      </c>
      <c r="J37" s="6">
        <f>IF(B37="","",SQRT(N(D37)^2+I37^2+(B37*'Ввод'!$B$5)^2))</f>
        <v/>
      </c>
      <c r="K37" s="6">
        <f>IF(B37="","",SQRT(IF('Ввод'!$B$6=1,'Регрессия'!$B$6*(1/E37+1/'Регрессия'!$B$2+(B37-'Регрессия'!$B$3)^2/'Регрессия'!$B$5)+'Регрессия'!$B$10+(B37-'Регрессия'!$B$3)^2*'Регрессия'!$B$9+2*(B37-'Регрессия'!$B$3)*'Регрессия'!$B$11,'Взвешенная регрессия'!$B$124*(1/E37+1/COUNTIFS('Взвешенная регрессия'!$A$11:$A$110,"&gt;=0"))+(B37-'Взвешенная регрессия'!$B$128)^2*'Взвешенная регрессия'!$B$125+'Взвешенная регрессия'!$B$126+2*(B37-'Взвешенная регрессия'!$B$128)*'Взвешенная регрессия'!$B$127)/IF('Ввод'!$B$6=1,'Регрессия'!$B$7,'Взвешенная регрессия'!$B$120)^2+(B37*'Ввод'!$B$5)^2))</f>
        <v/>
      </c>
      <c r="L37" s="6">
        <f>IF(K37="","",2*K37)</f>
        <v/>
      </c>
    </row>
    <row r="38">
      <c r="A38" s="6">
        <f>IF('Ввод'!B42="","",ROW()-4)</f>
        <v/>
      </c>
      <c r="B38" s="6">
        <f>IF('Ввод'!B42="","",'Ввод'!B42)</f>
        <v/>
      </c>
      <c r="C38" s="6">
        <f>IF('Ввод'!J42="","",'Ввод'!J42)</f>
        <v/>
      </c>
      <c r="D38" s="6">
        <f>IF(C38="","",C38/SQRT(E38))</f>
        <v/>
      </c>
      <c r="E38" s="6">
        <f>IF(B38="","",COUNT('Ввод'!C42:E42))</f>
        <v/>
      </c>
      <c r="F38" s="6">
        <f>IF(B38="","",IF('Ввод'!$B$6=1,'Регрессия'!$B$7,'Взвешенная регрессия'!$B$120)*B38+IF('Ввод'!$B$6=1,'Регрессия'!$B$8,'Взвешенная регрессия'!$B$121))</f>
        <v/>
      </c>
      <c r="G38" s="6">
        <f>IF(B38="","",IF('Ввод'!$B$6=1,'Регрессия'!$B$6*(1/'Регрессия'!$B$2+(B38-'Регрессия'!$B$3)^2/'Регрессия'!$B$5),'Взвешенная регрессия'!$B$124*(1/'Взвешенная регрессия'!$B$115+(B38-'Взвешенная регрессия'!$B$128)^2/'Взвешенная регрессия'!$B$118)))</f>
        <v/>
      </c>
      <c r="H38" s="6">
        <f>IF(G38="","",SQRT(G38))</f>
        <v/>
      </c>
      <c r="I38" s="6">
        <f>IF(B38="","",SQRT(IF('Ввод'!$B$6=1,'Регрессия'!$B$6,'Взвешенная регрессия'!$B$124)+G38))</f>
        <v/>
      </c>
      <c r="J38" s="6">
        <f>IF(B38="","",SQRT(N(D38)^2+I38^2+(B38*'Ввод'!$B$5)^2))</f>
        <v/>
      </c>
      <c r="K38" s="6">
        <f>IF(B38="","",SQRT(IF('Ввод'!$B$6=1,'Регрессия'!$B$6*(1/E38+1/'Регрессия'!$B$2+(B38-'Регрессия'!$B$3)^2/'Регрессия'!$B$5)+'Регрессия'!$B$10+(B38-'Регрессия'!$B$3)^2*'Регрессия'!$B$9+2*(B38-'Регрессия'!$B$3)*'Регрессия'!$B$11,'Взвешенная регрессия'!$B$124*(1/E38+1/COUNTIFS('Взвешенная регрессия'!$A$11:$A$110,"&gt;=0"))+(B38-'Взвешенная регрессия'!$B$128)^2*'Взвешенная регрессия'!$B$125+'Взвешенная регрессия'!$B$126+2*(B38-'Взвешенная регрессия'!$B$128)*'Взвешенная регрессия'!$B$127)/IF('Ввод'!$B$6=1,'Регрессия'!$B$7,'Взвешенная регрессия'!$B$120)^2+(B38*'Ввод'!$B$5)^2))</f>
        <v/>
      </c>
      <c r="L38" s="6">
        <f>IF(K38="","",2*K38)</f>
        <v/>
      </c>
    </row>
    <row r="39">
      <c r="A39" s="6">
        <f>IF('Ввод'!B43="","",ROW()-4)</f>
        <v/>
      </c>
      <c r="B39" s="6">
        <f>IF('Ввод'!B43="","",'Ввод'!B43)</f>
        <v/>
      </c>
      <c r="C39" s="6">
        <f>IF('Ввод'!J43="","",'Ввод'!J43)</f>
        <v/>
      </c>
      <c r="D39" s="6">
        <f>IF(C39="","",C39/SQRT(E39))</f>
        <v/>
      </c>
      <c r="E39" s="6">
        <f>IF(B39="","",COUNT('Ввод'!C43:E43))</f>
        <v/>
      </c>
      <c r="F39" s="6">
        <f>IF(B39="","",IF('Ввод'!$B$6=1,'Регрессия'!$B$7,'Взвешенная регрессия'!$B$120)*B39+IF('Ввод'!$B$6=1,'Регрессия'!$B$8,'Взвешенная регрессия'!$B$121))</f>
        <v/>
      </c>
      <c r="G39" s="6">
        <f>IF(B39="","",IF('Ввод'!$B$6=1,'Регрессия'!$B$6*(1/'Регрессия'!$B$2+(B39-'Регрессия'!$B$3)^2/'Регрессия'!$B$5),'Взвешенная регрессия'!$B$124*(1/'Взвешенная регрессия'!$B$115+(B39-'Взвешенная регрессия'!$B$128)^2/'Взвешенная регрессия'!$B$118)))</f>
        <v/>
      </c>
      <c r="H39" s="6">
        <f>IF(G39="","",SQRT(G39))</f>
        <v/>
      </c>
      <c r="I39" s="6">
        <f>IF(B39="","",SQRT(IF('Ввод'!$B$6=1,'Регрессия'!$B$6,'Взвешенная регрессия'!$B$124)+G39))</f>
        <v/>
      </c>
      <c r="J39" s="6">
        <f>IF(B39="","",SQRT(N(D39)^2+I39^2+(B39*'Ввод'!$B$5)^2))</f>
        <v/>
      </c>
      <c r="K39" s="6">
        <f>IF(B39="","",SQRT(IF('Ввод'!$B$6=1,'Регрессия'!$B$6*(1/E39+1/'Регрессия'!$B$2+(B39-'Регрессия'!$B$3)^2/'Регрессия'!$B$5)+'Регрессия'!$B$10+(B39-'Регрессия'!$B$3)^2*'Регрессия'!$B$9+2*(B39-'Регрессия'!$B$3)*'Регрессия'!$B$11,'Взвешенная регрессия'!$B$124*(1/E39+1/COUNTIFS('Взвешенная регрессия'!$A$11:$A$110,"&gt;=0"))+(B39-'Взвешенная регрессия'!$B$128)^2*'Взвешенная регрессия'!$B$125+'Взвешенная регрессия'!$B$126+2*(B39-'Взвешенная регрессия'!$B$128)*'Взвешенная регрессия'!$B$127)/IF('Ввод'!$B$6=1,'Регрессия'!$B$7,'Взвешенная регрессия'!$B$120)^2+(B39*'Ввод'!$B$5)^2))</f>
        <v/>
      </c>
      <c r="L39" s="6">
        <f>IF(K39="","",2*K39)</f>
        <v/>
      </c>
    </row>
    <row r="40">
      <c r="A40" s="6">
        <f>IF('Ввод'!B44="","",ROW()-4)</f>
        <v/>
      </c>
      <c r="B40" s="6">
        <f>IF('Ввод'!B44="","",'Ввод'!B44)</f>
        <v/>
      </c>
      <c r="C40" s="6">
        <f>IF('Ввод'!J44="","",'Ввод'!J44)</f>
        <v/>
      </c>
      <c r="D40" s="6">
        <f>IF(C40="","",C40/SQRT(E40))</f>
        <v/>
      </c>
      <c r="E40" s="6">
        <f>IF(B40="","",COUNT('Ввод'!C44:E44))</f>
        <v/>
      </c>
      <c r="F40" s="6">
        <f>IF(B40="","",IF('Ввод'!$B$6=1,'Регрессия'!$B$7,'Взвешенная регрессия'!$B$120)*B40+IF('Ввод'!$B$6=1,'Регрессия'!$B$8,'Взвешенная регрессия'!$B$121))</f>
        <v/>
      </c>
      <c r="G40" s="6">
        <f>IF(B40="","",IF('Ввод'!$B$6=1,'Регрессия'!$B$6*(1/'Регрессия'!$B$2+(B40-'Регрессия'!$B$3)^2/'Регрессия'!$B$5),'Взвешенная регрессия'!$B$124*(1/'Взвешенная регрессия'!$B$115+(B40-'Взвешенная регрессия'!$B$128)^2/'Взвешенная регрессия'!$B$118)))</f>
        <v/>
      </c>
      <c r="H40" s="6">
        <f>IF(G40="","",SQRT(G40))</f>
        <v/>
      </c>
      <c r="I40" s="6">
        <f>IF(B40="","",SQRT(IF('Ввод'!$B$6=1,'Регрессия'!$B$6,'Взвешенная регрессия'!$B$124)+G40))</f>
        <v/>
      </c>
      <c r="J40" s="6">
        <f>IF(B40="","",SQRT(N(D40)^2+I40^2+(B40*'Ввод'!$B$5)^2))</f>
        <v/>
      </c>
      <c r="K40" s="6">
        <f>IF(B40="","",SQRT(IF('Ввод'!$B$6=1,'Регрессия'!$B$6*(1/E40+1/'Регрессия'!$B$2+(B40-'Регрессия'!$B$3)^2/'Регрессия'!$B$5)+'Регрессия'!$B$10+(B40-'Регрессия'!$B$3)^2*'Регрессия'!$B$9+2*(B40-'Регрессия'!$B$3)*'Регрессия'!$B$11,'Взвешенная регрессия'!$B$124*(1/E40+1/COUNTIFS('Взвешенная регрессия'!$A$11:$A$110,"&gt;=0"))+(B40-'Взвешенная регрессия'!$B$128)^2*'Взвешенная регрессия'!$B$125+'Взвешенная регрессия'!$B$126+2*(B40-'Взвешенная регрессия'!$B$128)*'Взвешенная регрессия'!$B$127)/IF('Ввод'!$B$6=1,'Регрессия'!$B$7,'Взвешенная регрессия'!$B$120)^2+(B40*'Ввод'!$B$5)^2))</f>
        <v/>
      </c>
      <c r="L40" s="6">
        <f>IF(K40="","",2*K40)</f>
        <v/>
      </c>
    </row>
    <row r="41">
      <c r="A41" s="6">
        <f>IF('Ввод'!B45="","",ROW()-4)</f>
        <v/>
      </c>
      <c r="B41" s="6">
        <f>IF('Ввод'!B45="","",'Ввод'!B45)</f>
        <v/>
      </c>
      <c r="C41" s="6">
        <f>IF('Ввод'!J45="","",'Ввод'!J45)</f>
        <v/>
      </c>
      <c r="D41" s="6">
        <f>IF(C41="","",C41/SQRT(E41))</f>
        <v/>
      </c>
      <c r="E41" s="6">
        <f>IF(B41="","",COUNT('Ввод'!C45:E45))</f>
        <v/>
      </c>
      <c r="F41" s="6">
        <f>IF(B41="","",IF('Ввод'!$B$6=1,'Регрессия'!$B$7,'Взвешенная регрессия'!$B$120)*B41+IF('Ввод'!$B$6=1,'Регрессия'!$B$8,'Взвешенная регрессия'!$B$121))</f>
        <v/>
      </c>
      <c r="G41" s="6">
        <f>IF(B41="","",IF('Ввод'!$B$6=1,'Регрессия'!$B$6*(1/'Регрессия'!$B$2+(B41-'Регрессия'!$B$3)^2/'Регрессия'!$B$5),'Взвешенная регрессия'!$B$124*(1/'Взвешенная регрессия'!$B$115+(B41-'Взвешенная регрессия'!$B$128)^2/'Взвешенная регрессия'!$B$118)))</f>
        <v/>
      </c>
      <c r="H41" s="6">
        <f>IF(G41="","",SQRT(G41))</f>
        <v/>
      </c>
      <c r="I41" s="6">
        <f>IF(B41="","",SQRT(IF('Ввод'!$B$6=1,'Регрессия'!$B$6,'Взвешенная регрессия'!$B$124)+G41))</f>
        <v/>
      </c>
      <c r="J41" s="6">
        <f>IF(B41="","",SQRT(N(D41)^2+I41^2+(B41*'Ввод'!$B$5)^2))</f>
        <v/>
      </c>
      <c r="K41" s="6">
        <f>IF(B41="","",SQRT(IF('Ввод'!$B$6=1,'Регрессия'!$B$6*(1/E41+1/'Регрессия'!$B$2+(B41-'Регрессия'!$B$3)^2/'Регрессия'!$B$5)+'Регрессия'!$B$10+(B41-'Регрессия'!$B$3)^2*'Регрессия'!$B$9+2*(B41-'Регрессия'!$B$3)*'Регрессия'!$B$11,'Взвешенная регрессия'!$B$124*(1/E41+1/COUNTIFS('Взвешенная регрессия'!$A$11:$A$110,"&gt;=0"))+(B41-'Взвешенная регрессия'!$B$128)^2*'Взвешенная регрессия'!$B$125+'Взвешенная регрессия'!$B$126+2*(B41-'Взвешенная регрессия'!$B$128)*'Взвешенная регрессия'!$B$127)/IF('Ввод'!$B$6=1,'Регрессия'!$B$7,'Взвешенная регрессия'!$B$120)^2+(B41*'Ввод'!$B$5)^2))</f>
        <v/>
      </c>
      <c r="L41" s="6">
        <f>IF(K41="","",2*K41)</f>
        <v/>
      </c>
    </row>
    <row r="42">
      <c r="A42" s="6">
        <f>IF('Ввод'!B46="","",ROW()-4)</f>
        <v/>
      </c>
      <c r="B42" s="6">
        <f>IF('Ввод'!B46="","",'Ввод'!B46)</f>
        <v/>
      </c>
      <c r="C42" s="6">
        <f>IF('Ввод'!J46="","",'Ввод'!J46)</f>
        <v/>
      </c>
      <c r="D42" s="6">
        <f>IF(C42="","",C42/SQRT(E42))</f>
        <v/>
      </c>
      <c r="E42" s="6">
        <f>IF(B42="","",COUNT('Ввод'!C46:E46))</f>
        <v/>
      </c>
      <c r="F42" s="6">
        <f>IF(B42="","",IF('Ввод'!$B$6=1,'Регрессия'!$B$7,'Взвешенная регрессия'!$B$120)*B42+IF('Ввод'!$B$6=1,'Регрессия'!$B$8,'Взвешенная регрессия'!$B$121))</f>
        <v/>
      </c>
      <c r="G42" s="6">
        <f>IF(B42="","",IF('Ввод'!$B$6=1,'Регрессия'!$B$6*(1/'Регрессия'!$B$2+(B42-'Регрессия'!$B$3)^2/'Регрессия'!$B$5),'Взвешенная регрессия'!$B$124*(1/'Взвешенная регрессия'!$B$115+(B42-'Взвешенная регрессия'!$B$128)^2/'Взвешенная регрессия'!$B$118)))</f>
        <v/>
      </c>
      <c r="H42" s="6">
        <f>IF(G42="","",SQRT(G42))</f>
        <v/>
      </c>
      <c r="I42" s="6">
        <f>IF(B42="","",SQRT(IF('Ввод'!$B$6=1,'Регрессия'!$B$6,'Взвешенная регрессия'!$B$124)+G42))</f>
        <v/>
      </c>
      <c r="J42" s="6">
        <f>IF(B42="","",SQRT(N(D42)^2+I42^2+(B42*'Ввод'!$B$5)^2))</f>
        <v/>
      </c>
      <c r="K42" s="6">
        <f>IF(B42="","",SQRT(IF('Ввод'!$B$6=1,'Регрессия'!$B$6*(1/E42+1/'Регрессия'!$B$2+(B42-'Регрессия'!$B$3)^2/'Регрессия'!$B$5)+'Регрессия'!$B$10+(B42-'Регрессия'!$B$3)^2*'Регрессия'!$B$9+2*(B42-'Регрессия'!$B$3)*'Регрессия'!$B$11,'Взвешенная регрессия'!$B$124*(1/E42+1/COUNTIFS('Взвешенная регрессия'!$A$11:$A$110,"&gt;=0"))+(B42-'Взвешенная регрессия'!$B$128)^2*'Взвешенная регрессия'!$B$125+'Взвешенная регрессия'!$B$126+2*(B42-'Взвешенная регрессия'!$B$128)*'Взвешенная регрессия'!$B$127)/IF('Ввод'!$B$6=1,'Регрессия'!$B$7,'Взвешенная регрессия'!$B$120)^2+(B42*'Ввод'!$B$5)^2))</f>
        <v/>
      </c>
      <c r="L42" s="6">
        <f>IF(K42="","",2*K42)</f>
        <v/>
      </c>
    </row>
    <row r="43">
      <c r="A43" s="6">
        <f>IF('Ввод'!B47="","",ROW()-4)</f>
        <v/>
      </c>
      <c r="B43" s="6">
        <f>IF('Ввод'!B47="","",'Ввод'!B47)</f>
        <v/>
      </c>
      <c r="C43" s="6">
        <f>IF('Ввод'!J47="","",'Ввод'!J47)</f>
        <v/>
      </c>
      <c r="D43" s="6">
        <f>IF(C43="","",C43/SQRT(E43))</f>
        <v/>
      </c>
      <c r="E43" s="6">
        <f>IF(B43="","",COUNT('Ввод'!C47:E47))</f>
        <v/>
      </c>
      <c r="F43" s="6">
        <f>IF(B43="","",IF('Ввод'!$B$6=1,'Регрессия'!$B$7,'Взвешенная регрессия'!$B$120)*B43+IF('Ввод'!$B$6=1,'Регрессия'!$B$8,'Взвешенная регрессия'!$B$121))</f>
        <v/>
      </c>
      <c r="G43" s="6">
        <f>IF(B43="","",IF('Ввод'!$B$6=1,'Регрессия'!$B$6*(1/'Регрессия'!$B$2+(B43-'Регрессия'!$B$3)^2/'Регрессия'!$B$5),'Взвешенная регрессия'!$B$124*(1/'Взвешенная регрессия'!$B$115+(B43-'Взвешенная регрессия'!$B$128)^2/'Взвешенная регрессия'!$B$118)))</f>
        <v/>
      </c>
      <c r="H43" s="6">
        <f>IF(G43="","",SQRT(G43))</f>
        <v/>
      </c>
      <c r="I43" s="6">
        <f>IF(B43="","",SQRT(IF('Ввод'!$B$6=1,'Регрессия'!$B$6,'Взвешенная регрессия'!$B$124)+G43))</f>
        <v/>
      </c>
      <c r="J43" s="6">
        <f>IF(B43="","",SQRT(N(D43)^2+I43^2+(B43*'Ввод'!$B$5)^2))</f>
        <v/>
      </c>
      <c r="K43" s="6">
        <f>IF(B43="","",SQRT(IF('Ввод'!$B$6=1,'Регрессия'!$B$6*(1/E43+1/'Регрессия'!$B$2+(B43-'Регрессия'!$B$3)^2/'Регрессия'!$B$5)+'Регрессия'!$B$10+(B43-'Регрессия'!$B$3)^2*'Регрессия'!$B$9+2*(B43-'Регрессия'!$B$3)*'Регрессия'!$B$11,'Взвешенная регрессия'!$B$124*(1/E43+1/COUNTIFS('Взвешенная регрессия'!$A$11:$A$110,"&gt;=0"))+(B43-'Взвешенная регрессия'!$B$128)^2*'Взвешенная регрессия'!$B$125+'Взвешенная регрессия'!$B$126+2*(B43-'Взвешенная регрессия'!$B$128)*'Взвешенная регрессия'!$B$127)/IF('Ввод'!$B$6=1,'Регрессия'!$B$7,'Взвешенная регрессия'!$B$120)^2+(B43*'Ввод'!$B$5)^2))</f>
        <v/>
      </c>
      <c r="L43" s="6">
        <f>IF(K43="","",2*K43)</f>
        <v/>
      </c>
    </row>
    <row r="44">
      <c r="A44" s="6">
        <f>IF('Ввод'!B48="","",ROW()-4)</f>
        <v/>
      </c>
      <c r="B44" s="6">
        <f>IF('Ввод'!B48="","",'Ввод'!B48)</f>
        <v/>
      </c>
      <c r="C44" s="6">
        <f>IF('Ввод'!J48="","",'Ввод'!J48)</f>
        <v/>
      </c>
      <c r="D44" s="6">
        <f>IF(C44="","",C44/SQRT(E44))</f>
        <v/>
      </c>
      <c r="E44" s="6">
        <f>IF(B44="","",COUNT('Ввод'!C48:E48))</f>
        <v/>
      </c>
      <c r="F44" s="6">
        <f>IF(B44="","",IF('Ввод'!$B$6=1,'Регрессия'!$B$7,'Взвешенная регрессия'!$B$120)*B44+IF('Ввод'!$B$6=1,'Регрессия'!$B$8,'Взвешенная регрессия'!$B$121))</f>
        <v/>
      </c>
      <c r="G44" s="6">
        <f>IF(B44="","",IF('Ввод'!$B$6=1,'Регрессия'!$B$6*(1/'Регрессия'!$B$2+(B44-'Регрессия'!$B$3)^2/'Регрессия'!$B$5),'Взвешенная регрессия'!$B$124*(1/'Взвешенная регрессия'!$B$115+(B44-'Взвешенная регрессия'!$B$128)^2/'Взвешенная регрессия'!$B$118)))</f>
        <v/>
      </c>
      <c r="H44" s="6">
        <f>IF(G44="","",SQRT(G44))</f>
        <v/>
      </c>
      <c r="I44" s="6">
        <f>IF(B44="","",SQRT(IF('Ввод'!$B$6=1,'Регрессия'!$B$6,'Взвешенная регрессия'!$B$124)+G44))</f>
        <v/>
      </c>
      <c r="J44" s="6">
        <f>IF(B44="","",SQRT(N(D44)^2+I44^2+(B44*'Ввод'!$B$5)^2))</f>
        <v/>
      </c>
      <c r="K44" s="6">
        <f>IF(B44="","",SQRT(IF('Ввод'!$B$6=1,'Регрессия'!$B$6*(1/E44+1/'Регрессия'!$B$2+(B44-'Регрессия'!$B$3)^2/'Регрессия'!$B$5)+'Регрессия'!$B$10+(B44-'Регрессия'!$B$3)^2*'Регрессия'!$B$9+2*(B44-'Регрессия'!$B$3)*'Регрессия'!$B$11,'Взвешенная регрессия'!$B$124*(1/E44+1/COUNTIFS('Взвешенная регрессия'!$A$11:$A$110,"&gt;=0"))+(B44-'Взвешенная регрессия'!$B$128)^2*'Взвешенная регрессия'!$B$125+'Взвешенная регрессия'!$B$126+2*(B44-'Взвешенная регрессия'!$B$128)*'Взвешенная регрессия'!$B$127)/IF('Ввод'!$B$6=1,'Регрессия'!$B$7,'Взвешенная регрессия'!$B$120)^2+(B44*'Ввод'!$B$5)^2))</f>
        <v/>
      </c>
      <c r="L44" s="6">
        <f>IF(K44="","",2*K44)</f>
        <v/>
      </c>
    </row>
    <row r="45">
      <c r="A45" s="6">
        <f>IF('Ввод'!B49="","",ROW()-4)</f>
        <v/>
      </c>
      <c r="B45" s="6">
        <f>IF('Ввод'!B49="","",'Ввод'!B49)</f>
        <v/>
      </c>
      <c r="C45" s="6">
        <f>IF('Ввод'!J49="","",'Ввод'!J49)</f>
        <v/>
      </c>
      <c r="D45" s="6">
        <f>IF(C45="","",C45/SQRT(E45))</f>
        <v/>
      </c>
      <c r="E45" s="6">
        <f>IF(B45="","",COUNT('Ввод'!C49:E49))</f>
        <v/>
      </c>
      <c r="F45" s="6">
        <f>IF(B45="","",IF('Ввод'!$B$6=1,'Регрессия'!$B$7,'Взвешенная регрессия'!$B$120)*B45+IF('Ввод'!$B$6=1,'Регрессия'!$B$8,'Взвешенная регрессия'!$B$121))</f>
        <v/>
      </c>
      <c r="G45" s="6">
        <f>IF(B45="","",IF('Ввод'!$B$6=1,'Регрессия'!$B$6*(1/'Регрессия'!$B$2+(B45-'Регрессия'!$B$3)^2/'Регрессия'!$B$5),'Взвешенная регрессия'!$B$124*(1/'Взвешенная регрессия'!$B$115+(B45-'Взвешенная регрессия'!$B$128)^2/'Взвешенная регрессия'!$B$118)))</f>
        <v/>
      </c>
      <c r="H45" s="6">
        <f>IF(G45="","",SQRT(G45))</f>
        <v/>
      </c>
      <c r="I45" s="6">
        <f>IF(B45="","",SQRT(IF('Ввод'!$B$6=1,'Регрессия'!$B$6,'Взвешенная регрессия'!$B$124)+G45))</f>
        <v/>
      </c>
      <c r="J45" s="6">
        <f>IF(B45="","",SQRT(N(D45)^2+I45^2+(B45*'Ввод'!$B$5)^2))</f>
        <v/>
      </c>
      <c r="K45" s="6">
        <f>IF(B45="","",SQRT(IF('Ввод'!$B$6=1,'Регрессия'!$B$6*(1/E45+1/'Регрессия'!$B$2+(B45-'Регрессия'!$B$3)^2/'Регрессия'!$B$5)+'Регрессия'!$B$10+(B45-'Регрессия'!$B$3)^2*'Регрессия'!$B$9+2*(B45-'Регрессия'!$B$3)*'Регрессия'!$B$11,'Взвешенная регрессия'!$B$124*(1/E45+1/COUNTIFS('Взвешенная регрессия'!$A$11:$A$110,"&gt;=0"))+(B45-'Взвешенная регрессия'!$B$128)^2*'Взвешенная регрессия'!$B$125+'Взвешенная регрессия'!$B$126+2*(B45-'Взвешенная регрессия'!$B$128)*'Взвешенная регрессия'!$B$127)/IF('Ввод'!$B$6=1,'Регрессия'!$B$7,'Взвешенная регрессия'!$B$120)^2+(B45*'Ввод'!$B$5)^2))</f>
        <v/>
      </c>
      <c r="L45" s="6">
        <f>IF(K45="","",2*K45)</f>
        <v/>
      </c>
    </row>
    <row r="46">
      <c r="A46" s="6">
        <f>IF('Ввод'!B50="","",ROW()-4)</f>
        <v/>
      </c>
      <c r="B46" s="6">
        <f>IF('Ввод'!B50="","",'Ввод'!B50)</f>
        <v/>
      </c>
      <c r="C46" s="6">
        <f>IF('Ввод'!J50="","",'Ввод'!J50)</f>
        <v/>
      </c>
      <c r="D46" s="6">
        <f>IF(C46="","",C46/SQRT(E46))</f>
        <v/>
      </c>
      <c r="E46" s="6">
        <f>IF(B46="","",COUNT('Ввод'!C50:E50))</f>
        <v/>
      </c>
      <c r="F46" s="6">
        <f>IF(B46="","",IF('Ввод'!$B$6=1,'Регрессия'!$B$7,'Взвешенная регрессия'!$B$120)*B46+IF('Ввод'!$B$6=1,'Регрессия'!$B$8,'Взвешенная регрессия'!$B$121))</f>
        <v/>
      </c>
      <c r="G46" s="6">
        <f>IF(B46="","",IF('Ввод'!$B$6=1,'Регрессия'!$B$6*(1/'Регрессия'!$B$2+(B46-'Регрессия'!$B$3)^2/'Регрессия'!$B$5),'Взвешенная регрессия'!$B$124*(1/'Взвешенная регрессия'!$B$115+(B46-'Взвешенная регрессия'!$B$128)^2/'Взвешенная регрессия'!$B$118)))</f>
        <v/>
      </c>
      <c r="H46" s="6">
        <f>IF(G46="","",SQRT(G46))</f>
        <v/>
      </c>
      <c r="I46" s="6">
        <f>IF(B46="","",SQRT(IF('Ввод'!$B$6=1,'Регрессия'!$B$6,'Взвешенная регрессия'!$B$124)+G46))</f>
        <v/>
      </c>
      <c r="J46" s="6">
        <f>IF(B46="","",SQRT(N(D46)^2+I46^2+(B46*'Ввод'!$B$5)^2))</f>
        <v/>
      </c>
      <c r="K46" s="6">
        <f>IF(B46="","",SQRT(IF('Ввод'!$B$6=1,'Регрессия'!$B$6*(1/E46+1/'Регрессия'!$B$2+(B46-'Регрессия'!$B$3)^2/'Регрессия'!$B$5)+'Регрессия'!$B$10+(B46-'Регрессия'!$B$3)^2*'Регрессия'!$B$9+2*(B46-'Регрессия'!$B$3)*'Регрессия'!$B$11,'Взвешенная регрессия'!$B$124*(1/E46+1/COUNTIFS('Взвешенная регрессия'!$A$11:$A$110,"&gt;=0"))+(B46-'Взвешенная регрессия'!$B$128)^2*'Взвешенная регрессия'!$B$125+'Взвешенная регрессия'!$B$126+2*(B46-'Взвешенная регрессия'!$B$128)*'Взвешенная регрессия'!$B$127)/IF('Ввод'!$B$6=1,'Регрессия'!$B$7,'Взвешенная регрессия'!$B$120)^2+(B46*'Ввод'!$B$5)^2))</f>
        <v/>
      </c>
      <c r="L46" s="6">
        <f>IF(K46="","",2*K46)</f>
        <v/>
      </c>
    </row>
    <row r="47">
      <c r="A47" s="6">
        <f>IF('Ввод'!B51="","",ROW()-4)</f>
        <v/>
      </c>
      <c r="B47" s="6">
        <f>IF('Ввод'!B51="","",'Ввод'!B51)</f>
        <v/>
      </c>
      <c r="C47" s="6">
        <f>IF('Ввод'!J51="","",'Ввод'!J51)</f>
        <v/>
      </c>
      <c r="D47" s="6">
        <f>IF(C47="","",C47/SQRT(E47))</f>
        <v/>
      </c>
      <c r="E47" s="6">
        <f>IF(B47="","",COUNT('Ввод'!C51:E51))</f>
        <v/>
      </c>
      <c r="F47" s="6">
        <f>IF(B47="","",IF('Ввод'!$B$6=1,'Регрессия'!$B$7,'Взвешенная регрессия'!$B$120)*B47+IF('Ввод'!$B$6=1,'Регрессия'!$B$8,'Взвешенная регрессия'!$B$121))</f>
        <v/>
      </c>
      <c r="G47" s="6">
        <f>IF(B47="","",IF('Ввод'!$B$6=1,'Регрессия'!$B$6*(1/'Регрессия'!$B$2+(B47-'Регрессия'!$B$3)^2/'Регрессия'!$B$5),'Взвешенная регрессия'!$B$124*(1/'Взвешенная регрессия'!$B$115+(B47-'Взвешенная регрессия'!$B$128)^2/'Взвешенная регрессия'!$B$118)))</f>
        <v/>
      </c>
      <c r="H47" s="6">
        <f>IF(G47="","",SQRT(G47))</f>
        <v/>
      </c>
      <c r="I47" s="6">
        <f>IF(B47="","",SQRT(IF('Ввод'!$B$6=1,'Регрессия'!$B$6,'Взвешенная регрессия'!$B$124)+G47))</f>
        <v/>
      </c>
      <c r="J47" s="6">
        <f>IF(B47="","",SQRT(N(D47)^2+I47^2+(B47*'Ввод'!$B$5)^2))</f>
        <v/>
      </c>
      <c r="K47" s="6">
        <f>IF(B47="","",SQRT(IF('Ввод'!$B$6=1,'Регрессия'!$B$6*(1/E47+1/'Регрессия'!$B$2+(B47-'Регрессия'!$B$3)^2/'Регрессия'!$B$5)+'Регрессия'!$B$10+(B47-'Регрессия'!$B$3)^2*'Регрессия'!$B$9+2*(B47-'Регрессия'!$B$3)*'Регрессия'!$B$11,'Взвешенная регрессия'!$B$124*(1/E47+1/COUNTIFS('Взвешенная регрессия'!$A$11:$A$110,"&gt;=0"))+(B47-'Взвешенная регрессия'!$B$128)^2*'Взвешенная регрессия'!$B$125+'Взвешенная регрессия'!$B$126+2*(B47-'Взвешенная регрессия'!$B$128)*'Взвешенная регрессия'!$B$127)/IF('Ввод'!$B$6=1,'Регрессия'!$B$7,'Взвешенная регрессия'!$B$120)^2+(B47*'Ввод'!$B$5)^2))</f>
        <v/>
      </c>
      <c r="L47" s="6">
        <f>IF(K47="","",2*K47)</f>
        <v/>
      </c>
    </row>
    <row r="48">
      <c r="A48" s="6">
        <f>IF('Ввод'!B52="","",ROW()-4)</f>
        <v/>
      </c>
      <c r="B48" s="6">
        <f>IF('Ввод'!B52="","",'Ввод'!B52)</f>
        <v/>
      </c>
      <c r="C48" s="6">
        <f>IF('Ввод'!J52="","",'Ввод'!J52)</f>
        <v/>
      </c>
      <c r="D48" s="6">
        <f>IF(C48="","",C48/SQRT(E48))</f>
        <v/>
      </c>
      <c r="E48" s="6">
        <f>IF(B48="","",COUNT('Ввод'!C52:E52))</f>
        <v/>
      </c>
      <c r="F48" s="6">
        <f>IF(B48="","",IF('Ввод'!$B$6=1,'Регрессия'!$B$7,'Взвешенная регрессия'!$B$120)*B48+IF('Ввод'!$B$6=1,'Регрессия'!$B$8,'Взвешенная регрессия'!$B$121))</f>
        <v/>
      </c>
      <c r="G48" s="6">
        <f>IF(B48="","",IF('Ввод'!$B$6=1,'Регрессия'!$B$6*(1/'Регрессия'!$B$2+(B48-'Регрессия'!$B$3)^2/'Регрессия'!$B$5),'Взвешенная регрессия'!$B$124*(1/'Взвешенная регрессия'!$B$115+(B48-'Взвешенная регрессия'!$B$128)^2/'Взвешенная регрессия'!$B$118)))</f>
        <v/>
      </c>
      <c r="H48" s="6">
        <f>IF(G48="","",SQRT(G48))</f>
        <v/>
      </c>
      <c r="I48" s="6">
        <f>IF(B48="","",SQRT(IF('Ввод'!$B$6=1,'Регрессия'!$B$6,'Взвешенная регрессия'!$B$124)+G48))</f>
        <v/>
      </c>
      <c r="J48" s="6">
        <f>IF(B48="","",SQRT(N(D48)^2+I48^2+(B48*'Ввод'!$B$5)^2))</f>
        <v/>
      </c>
      <c r="K48" s="6">
        <f>IF(B48="","",SQRT(IF('Ввод'!$B$6=1,'Регрессия'!$B$6*(1/E48+1/'Регрессия'!$B$2+(B48-'Регрессия'!$B$3)^2/'Регрессия'!$B$5)+'Регрессия'!$B$10+(B48-'Регрессия'!$B$3)^2*'Регрессия'!$B$9+2*(B48-'Регрессия'!$B$3)*'Регрессия'!$B$11,'Взвешенная регрессия'!$B$124*(1/E48+1/COUNTIFS('Взвешенная регрессия'!$A$11:$A$110,"&gt;=0"))+(B48-'Взвешенная регрессия'!$B$128)^2*'Взвешенная регрессия'!$B$125+'Взвешенная регрессия'!$B$126+2*(B48-'Взвешенная регрессия'!$B$128)*'Взвешенная регрессия'!$B$127)/IF('Ввод'!$B$6=1,'Регрессия'!$B$7,'Взвешенная регрессия'!$B$120)^2+(B48*'Ввод'!$B$5)^2))</f>
        <v/>
      </c>
      <c r="L48" s="6">
        <f>IF(K48="","",2*K48)</f>
        <v/>
      </c>
    </row>
    <row r="49">
      <c r="A49" s="6">
        <f>IF('Ввод'!B53="","",ROW()-4)</f>
        <v/>
      </c>
      <c r="B49" s="6">
        <f>IF('Ввод'!B53="","",'Ввод'!B53)</f>
        <v/>
      </c>
      <c r="C49" s="6">
        <f>IF('Ввод'!J53="","",'Ввод'!J53)</f>
        <v/>
      </c>
      <c r="D49" s="6">
        <f>IF(C49="","",C49/SQRT(E49))</f>
        <v/>
      </c>
      <c r="E49" s="6">
        <f>IF(B49="","",COUNT('Ввод'!C53:E53))</f>
        <v/>
      </c>
      <c r="F49" s="6">
        <f>IF(B49="","",IF('Ввод'!$B$6=1,'Регрессия'!$B$7,'Взвешенная регрессия'!$B$120)*B49+IF('Ввод'!$B$6=1,'Регрессия'!$B$8,'Взвешенная регрессия'!$B$121))</f>
        <v/>
      </c>
      <c r="G49" s="6">
        <f>IF(B49="","",IF('Ввод'!$B$6=1,'Регрессия'!$B$6*(1/'Регрессия'!$B$2+(B49-'Регрессия'!$B$3)^2/'Регрессия'!$B$5),'Взвешенная регрессия'!$B$124*(1/'Взвешенная регрессия'!$B$115+(B49-'Взвешенная регрессия'!$B$128)^2/'Взвешенная регрессия'!$B$118)))</f>
        <v/>
      </c>
      <c r="H49" s="6">
        <f>IF(G49="","",SQRT(G49))</f>
        <v/>
      </c>
      <c r="I49" s="6">
        <f>IF(B49="","",SQRT(IF('Ввод'!$B$6=1,'Регрессия'!$B$6,'Взвешенная регрессия'!$B$124)+G49))</f>
        <v/>
      </c>
      <c r="J49" s="6">
        <f>IF(B49="","",SQRT(N(D49)^2+I49^2+(B49*'Ввод'!$B$5)^2))</f>
        <v/>
      </c>
      <c r="K49" s="6">
        <f>IF(B49="","",SQRT(IF('Ввод'!$B$6=1,'Регрессия'!$B$6*(1/E49+1/'Регрессия'!$B$2+(B49-'Регрессия'!$B$3)^2/'Регрессия'!$B$5)+'Регрессия'!$B$10+(B49-'Регрессия'!$B$3)^2*'Регрессия'!$B$9+2*(B49-'Регрессия'!$B$3)*'Регрессия'!$B$11,'Взвешенная регрессия'!$B$124*(1/E49+1/COUNTIFS('Взвешенная регрессия'!$A$11:$A$110,"&gt;=0"))+(B49-'Взвешенная регрессия'!$B$128)^2*'Взвешенная регрессия'!$B$125+'Взвешенная регрессия'!$B$126+2*(B49-'Взвешенная регрессия'!$B$128)*'Взвешенная регрессия'!$B$127)/IF('Ввод'!$B$6=1,'Регрессия'!$B$7,'Взвешенная регрессия'!$B$120)^2+(B49*'Ввод'!$B$5)^2))</f>
        <v/>
      </c>
      <c r="L49" s="6">
        <f>IF(K49="","",2*K49)</f>
        <v/>
      </c>
    </row>
    <row r="50">
      <c r="A50" s="6">
        <f>IF('Ввод'!B54="","",ROW()-4)</f>
        <v/>
      </c>
      <c r="B50" s="6">
        <f>IF('Ввод'!B54="","",'Ввод'!B54)</f>
        <v/>
      </c>
      <c r="C50" s="6">
        <f>IF('Ввод'!J54="","",'Ввод'!J54)</f>
        <v/>
      </c>
      <c r="D50" s="6">
        <f>IF(C50="","",C50/SQRT(E50))</f>
        <v/>
      </c>
      <c r="E50" s="6">
        <f>IF(B50="","",COUNT('Ввод'!C54:E54))</f>
        <v/>
      </c>
      <c r="F50" s="6">
        <f>IF(B50="","",IF('Ввод'!$B$6=1,'Регрессия'!$B$7,'Взвешенная регрессия'!$B$120)*B50+IF('Ввод'!$B$6=1,'Регрессия'!$B$8,'Взвешенная регрессия'!$B$121))</f>
        <v/>
      </c>
      <c r="G50" s="6">
        <f>IF(B50="","",IF('Ввод'!$B$6=1,'Регрессия'!$B$6*(1/'Регрессия'!$B$2+(B50-'Регрессия'!$B$3)^2/'Регрессия'!$B$5),'Взвешенная регрессия'!$B$124*(1/'Взвешенная регрессия'!$B$115+(B50-'Взвешенная регрессия'!$B$128)^2/'Взвешенная регрессия'!$B$118)))</f>
        <v/>
      </c>
      <c r="H50" s="6">
        <f>IF(G50="","",SQRT(G50))</f>
        <v/>
      </c>
      <c r="I50" s="6">
        <f>IF(B50="","",SQRT(IF('Ввод'!$B$6=1,'Регрессия'!$B$6,'Взвешенная регрессия'!$B$124)+G50))</f>
        <v/>
      </c>
      <c r="J50" s="6">
        <f>IF(B50="","",SQRT(N(D50)^2+I50^2+(B50*'Ввод'!$B$5)^2))</f>
        <v/>
      </c>
      <c r="K50" s="6">
        <f>IF(B50="","",SQRT(IF('Ввод'!$B$6=1,'Регрессия'!$B$6*(1/E50+1/'Регрессия'!$B$2+(B50-'Регрессия'!$B$3)^2/'Регрессия'!$B$5)+'Регрессия'!$B$10+(B50-'Регрессия'!$B$3)^2*'Регрессия'!$B$9+2*(B50-'Регрессия'!$B$3)*'Регрессия'!$B$11,'Взвешенная регрессия'!$B$124*(1/E50+1/COUNTIFS('Взвешенная регрессия'!$A$11:$A$110,"&gt;=0"))+(B50-'Взвешенная регрессия'!$B$128)^2*'Взвешенная регрессия'!$B$125+'Взвешенная регрессия'!$B$126+2*(B50-'Взвешенная регрессия'!$B$128)*'Взвешенная регрессия'!$B$127)/IF('Ввод'!$B$6=1,'Регрессия'!$B$7,'Взвешенная регрессия'!$B$120)^2+(B50*'Ввод'!$B$5)^2))</f>
        <v/>
      </c>
      <c r="L50" s="6">
        <f>IF(K50="","",2*K50)</f>
        <v/>
      </c>
    </row>
    <row r="51">
      <c r="A51" s="6">
        <f>IF('Ввод'!B55="","",ROW()-4)</f>
        <v/>
      </c>
      <c r="B51" s="6">
        <f>IF('Ввод'!B55="","",'Ввод'!B55)</f>
        <v/>
      </c>
      <c r="C51" s="6">
        <f>IF('Ввод'!J55="","",'Ввод'!J55)</f>
        <v/>
      </c>
      <c r="D51" s="6">
        <f>IF(C51="","",C51/SQRT(E51))</f>
        <v/>
      </c>
      <c r="E51" s="6">
        <f>IF(B51="","",COUNT('Ввод'!C55:E55))</f>
        <v/>
      </c>
      <c r="F51" s="6">
        <f>IF(B51="","",IF('Ввод'!$B$6=1,'Регрессия'!$B$7,'Взвешенная регрессия'!$B$120)*B51+IF('Ввод'!$B$6=1,'Регрессия'!$B$8,'Взвешенная регрессия'!$B$121))</f>
        <v/>
      </c>
      <c r="G51" s="6">
        <f>IF(B51="","",IF('Ввод'!$B$6=1,'Регрессия'!$B$6*(1/'Регрессия'!$B$2+(B51-'Регрессия'!$B$3)^2/'Регрессия'!$B$5),'Взвешенная регрессия'!$B$124*(1/'Взвешенная регрессия'!$B$115+(B51-'Взвешенная регрессия'!$B$128)^2/'Взвешенная регрессия'!$B$118)))</f>
        <v/>
      </c>
      <c r="H51" s="6">
        <f>IF(G51="","",SQRT(G51))</f>
        <v/>
      </c>
      <c r="I51" s="6">
        <f>IF(B51="","",SQRT(IF('Ввод'!$B$6=1,'Регрессия'!$B$6,'Взвешенная регрессия'!$B$124)+G51))</f>
        <v/>
      </c>
      <c r="J51" s="6">
        <f>IF(B51="","",SQRT(N(D51)^2+I51^2+(B51*'Ввод'!$B$5)^2))</f>
        <v/>
      </c>
      <c r="K51" s="6">
        <f>IF(B51="","",SQRT(IF('Ввод'!$B$6=1,'Регрессия'!$B$6*(1/E51+1/'Регрессия'!$B$2+(B51-'Регрессия'!$B$3)^2/'Регрессия'!$B$5)+'Регрессия'!$B$10+(B51-'Регрессия'!$B$3)^2*'Регрессия'!$B$9+2*(B51-'Регрессия'!$B$3)*'Регрессия'!$B$11,'Взвешенная регрессия'!$B$124*(1/E51+1/COUNTIFS('Взвешенная регрессия'!$A$11:$A$110,"&gt;=0"))+(B51-'Взвешенная регрессия'!$B$128)^2*'Взвешенная регрессия'!$B$125+'Взвешенная регрессия'!$B$126+2*(B51-'Взвешенная регрессия'!$B$128)*'Взвешенная регрессия'!$B$127)/IF('Ввод'!$B$6=1,'Регрессия'!$B$7,'Взвешенная регрессия'!$B$120)^2+(B51*'Ввод'!$B$5)^2))</f>
        <v/>
      </c>
      <c r="L51" s="6">
        <f>IF(K51="","",2*K51)</f>
        <v/>
      </c>
    </row>
    <row r="52">
      <c r="A52" s="6">
        <f>IF('Ввод'!B56="","",ROW()-4)</f>
        <v/>
      </c>
      <c r="B52" s="6">
        <f>IF('Ввод'!B56="","",'Ввод'!B56)</f>
        <v/>
      </c>
      <c r="C52" s="6">
        <f>IF('Ввод'!J56="","",'Ввод'!J56)</f>
        <v/>
      </c>
      <c r="D52" s="6">
        <f>IF(C52="","",C52/SQRT(E52))</f>
        <v/>
      </c>
      <c r="E52" s="6">
        <f>IF(B52="","",COUNT('Ввод'!C56:E56))</f>
        <v/>
      </c>
      <c r="F52" s="6">
        <f>IF(B52="","",IF('Ввод'!$B$6=1,'Регрессия'!$B$7,'Взвешенная регрессия'!$B$120)*B52+IF('Ввод'!$B$6=1,'Регрессия'!$B$8,'Взвешенная регрессия'!$B$121))</f>
        <v/>
      </c>
      <c r="G52" s="6">
        <f>IF(B52="","",IF('Ввод'!$B$6=1,'Регрессия'!$B$6*(1/'Регрессия'!$B$2+(B52-'Регрессия'!$B$3)^2/'Регрессия'!$B$5),'Взвешенная регрессия'!$B$124*(1/'Взвешенная регрессия'!$B$115+(B52-'Взвешенная регрессия'!$B$128)^2/'Взвешенная регрессия'!$B$118)))</f>
        <v/>
      </c>
      <c r="H52" s="6">
        <f>IF(G52="","",SQRT(G52))</f>
        <v/>
      </c>
      <c r="I52" s="6">
        <f>IF(B52="","",SQRT(IF('Ввод'!$B$6=1,'Регрессия'!$B$6,'Взвешенная регрессия'!$B$124)+G52))</f>
        <v/>
      </c>
      <c r="J52" s="6">
        <f>IF(B52="","",SQRT(N(D52)^2+I52^2+(B52*'Ввод'!$B$5)^2))</f>
        <v/>
      </c>
      <c r="K52" s="6">
        <f>IF(B52="","",SQRT(IF('Ввод'!$B$6=1,'Регрессия'!$B$6*(1/E52+1/'Регрессия'!$B$2+(B52-'Регрессия'!$B$3)^2/'Регрессия'!$B$5)+'Регрессия'!$B$10+(B52-'Регрессия'!$B$3)^2*'Регрессия'!$B$9+2*(B52-'Регрессия'!$B$3)*'Регрессия'!$B$11,'Взвешенная регрессия'!$B$124*(1/E52+1/COUNTIFS('Взвешенная регрессия'!$A$11:$A$110,"&gt;=0"))+(B52-'Взвешенная регрессия'!$B$128)^2*'Взвешенная регрессия'!$B$125+'Взвешенная регрессия'!$B$126+2*(B52-'Взвешенная регрессия'!$B$128)*'Взвешенная регрессия'!$B$127)/IF('Ввод'!$B$6=1,'Регрессия'!$B$7,'Взвешенная регрессия'!$B$120)^2+(B52*'Ввод'!$B$5)^2))</f>
        <v/>
      </c>
      <c r="L52" s="6">
        <f>IF(K52="","",2*K52)</f>
        <v/>
      </c>
    </row>
    <row r="53">
      <c r="A53" s="6">
        <f>IF('Ввод'!B57="","",ROW()-4)</f>
        <v/>
      </c>
      <c r="B53" s="6">
        <f>IF('Ввод'!B57="","",'Ввод'!B57)</f>
        <v/>
      </c>
      <c r="C53" s="6">
        <f>IF('Ввод'!J57="","",'Ввод'!J57)</f>
        <v/>
      </c>
      <c r="D53" s="6">
        <f>IF(C53="","",C53/SQRT(E53))</f>
        <v/>
      </c>
      <c r="E53" s="6">
        <f>IF(B53="","",COUNT('Ввод'!C57:E57))</f>
        <v/>
      </c>
      <c r="F53" s="6">
        <f>IF(B53="","",IF('Ввод'!$B$6=1,'Регрессия'!$B$7,'Взвешенная регрессия'!$B$120)*B53+IF('Ввод'!$B$6=1,'Регрессия'!$B$8,'Взвешенная регрессия'!$B$121))</f>
        <v/>
      </c>
      <c r="G53" s="6">
        <f>IF(B53="","",IF('Ввод'!$B$6=1,'Регрессия'!$B$6*(1/'Регрессия'!$B$2+(B53-'Регрессия'!$B$3)^2/'Регрессия'!$B$5),'Взвешенная регрессия'!$B$124*(1/'Взвешенная регрессия'!$B$115+(B53-'Взвешенная регрессия'!$B$128)^2/'Взвешенная регрессия'!$B$118)))</f>
        <v/>
      </c>
      <c r="H53" s="6">
        <f>IF(G53="","",SQRT(G53))</f>
        <v/>
      </c>
      <c r="I53" s="6">
        <f>IF(B53="","",SQRT(IF('Ввод'!$B$6=1,'Регрессия'!$B$6,'Взвешенная регрессия'!$B$124)+G53))</f>
        <v/>
      </c>
      <c r="J53" s="6">
        <f>IF(B53="","",SQRT(N(D53)^2+I53^2+(B53*'Ввод'!$B$5)^2))</f>
        <v/>
      </c>
      <c r="K53" s="6">
        <f>IF(B53="","",SQRT(IF('Ввод'!$B$6=1,'Регрессия'!$B$6*(1/E53+1/'Регрессия'!$B$2+(B53-'Регрессия'!$B$3)^2/'Регрессия'!$B$5)+'Регрессия'!$B$10+(B53-'Регрессия'!$B$3)^2*'Регрессия'!$B$9+2*(B53-'Регрессия'!$B$3)*'Регрессия'!$B$11,'Взвешенная регрессия'!$B$124*(1/E53+1/COUNTIFS('Взвешенная регрессия'!$A$11:$A$110,"&gt;=0"))+(B53-'Взвешенная регрессия'!$B$128)^2*'Взвешенная регрессия'!$B$125+'Взвешенная регрессия'!$B$126+2*(B53-'Взвешенная регрессия'!$B$128)*'Взвешенная регрессия'!$B$127)/IF('Ввод'!$B$6=1,'Регрессия'!$B$7,'Взвешенная регрессия'!$B$120)^2+(B53*'Ввод'!$B$5)^2))</f>
        <v/>
      </c>
      <c r="L53" s="6">
        <f>IF(K53="","",2*K53)</f>
        <v/>
      </c>
    </row>
    <row r="54">
      <c r="A54" s="6">
        <f>IF('Ввод'!B58="","",ROW()-4)</f>
        <v/>
      </c>
      <c r="B54" s="6">
        <f>IF('Ввод'!B58="","",'Ввод'!B58)</f>
        <v/>
      </c>
      <c r="C54" s="6">
        <f>IF('Ввод'!J58="","",'Ввод'!J58)</f>
        <v/>
      </c>
      <c r="D54" s="6">
        <f>IF(C54="","",C54/SQRT(E54))</f>
        <v/>
      </c>
      <c r="E54" s="6">
        <f>IF(B54="","",COUNT('Ввод'!C58:E58))</f>
        <v/>
      </c>
      <c r="F54" s="6">
        <f>IF(B54="","",IF('Ввод'!$B$6=1,'Регрессия'!$B$7,'Взвешенная регрессия'!$B$120)*B54+IF('Ввод'!$B$6=1,'Регрессия'!$B$8,'Взвешенная регрессия'!$B$121))</f>
        <v/>
      </c>
      <c r="G54" s="6">
        <f>IF(B54="","",IF('Ввод'!$B$6=1,'Регрессия'!$B$6*(1/'Регрессия'!$B$2+(B54-'Регрессия'!$B$3)^2/'Регрессия'!$B$5),'Взвешенная регрессия'!$B$124*(1/'Взвешенная регрессия'!$B$115+(B54-'Взвешенная регрессия'!$B$128)^2/'Взвешенная регрессия'!$B$118)))</f>
        <v/>
      </c>
      <c r="H54" s="6">
        <f>IF(G54="","",SQRT(G54))</f>
        <v/>
      </c>
      <c r="I54" s="6">
        <f>IF(B54="","",SQRT(IF('Ввод'!$B$6=1,'Регрессия'!$B$6,'Взвешенная регрессия'!$B$124)+G54))</f>
        <v/>
      </c>
      <c r="J54" s="6">
        <f>IF(B54="","",SQRT(N(D54)^2+I54^2+(B54*'Ввод'!$B$5)^2))</f>
        <v/>
      </c>
      <c r="K54" s="6">
        <f>IF(B54="","",SQRT(IF('Ввод'!$B$6=1,'Регрессия'!$B$6*(1/E54+1/'Регрессия'!$B$2+(B54-'Регрессия'!$B$3)^2/'Регрессия'!$B$5)+'Регрессия'!$B$10+(B54-'Регрессия'!$B$3)^2*'Регрессия'!$B$9+2*(B54-'Регрессия'!$B$3)*'Регрессия'!$B$11,'Взвешенная регрессия'!$B$124*(1/E54+1/COUNTIFS('Взвешенная регрессия'!$A$11:$A$110,"&gt;=0"))+(B54-'Взвешенная регрессия'!$B$128)^2*'Взвешенная регрессия'!$B$125+'Взвешенная регрессия'!$B$126+2*(B54-'Взвешенная регрессия'!$B$128)*'Взвешенная регрессия'!$B$127)/IF('Ввод'!$B$6=1,'Регрессия'!$B$7,'Взвешенная регрессия'!$B$120)^2+(B54*'Ввод'!$B$5)^2))</f>
        <v/>
      </c>
      <c r="L54" s="6">
        <f>IF(K54="","",2*K54)</f>
        <v/>
      </c>
    </row>
    <row r="55">
      <c r="A55" s="6">
        <f>IF('Ввод'!B59="","",ROW()-4)</f>
        <v/>
      </c>
      <c r="B55" s="6">
        <f>IF('Ввод'!B59="","",'Ввод'!B59)</f>
        <v/>
      </c>
      <c r="C55" s="6">
        <f>IF('Ввод'!J59="","",'Ввод'!J59)</f>
        <v/>
      </c>
      <c r="D55" s="6">
        <f>IF(C55="","",C55/SQRT(E55))</f>
        <v/>
      </c>
      <c r="E55" s="6">
        <f>IF(B55="","",COUNT('Ввод'!C59:E59))</f>
        <v/>
      </c>
      <c r="F55" s="6">
        <f>IF(B55="","",IF('Ввод'!$B$6=1,'Регрессия'!$B$7,'Взвешенная регрессия'!$B$120)*B55+IF('Ввод'!$B$6=1,'Регрессия'!$B$8,'Взвешенная регрессия'!$B$121))</f>
        <v/>
      </c>
      <c r="G55" s="6">
        <f>IF(B55="","",IF('Ввод'!$B$6=1,'Регрессия'!$B$6*(1/'Регрессия'!$B$2+(B55-'Регрессия'!$B$3)^2/'Регрессия'!$B$5),'Взвешенная регрессия'!$B$124*(1/'Взвешенная регрессия'!$B$115+(B55-'Взвешенная регрессия'!$B$128)^2/'Взвешенная регрессия'!$B$118)))</f>
        <v/>
      </c>
      <c r="H55" s="6">
        <f>IF(G55="","",SQRT(G55))</f>
        <v/>
      </c>
      <c r="I55" s="6">
        <f>IF(B55="","",SQRT(IF('Ввод'!$B$6=1,'Регрессия'!$B$6,'Взвешенная регрессия'!$B$124)+G55))</f>
        <v/>
      </c>
      <c r="J55" s="6">
        <f>IF(B55="","",SQRT(N(D55)^2+I55^2+(B55*'Ввод'!$B$5)^2))</f>
        <v/>
      </c>
      <c r="K55" s="6">
        <f>IF(B55="","",SQRT(IF('Ввод'!$B$6=1,'Регрессия'!$B$6*(1/E55+1/'Регрессия'!$B$2+(B55-'Регрессия'!$B$3)^2/'Регрессия'!$B$5)+'Регрессия'!$B$10+(B55-'Регрессия'!$B$3)^2*'Регрессия'!$B$9+2*(B55-'Регрессия'!$B$3)*'Регрессия'!$B$11,'Взвешенная регрессия'!$B$124*(1/E55+1/COUNTIFS('Взвешенная регрессия'!$A$11:$A$110,"&gt;=0"))+(B55-'Взвешенная регрессия'!$B$128)^2*'Взвешенная регрессия'!$B$125+'Взвешенная регрессия'!$B$126+2*(B55-'Взвешенная регрессия'!$B$128)*'Взвешенная регрессия'!$B$127)/IF('Ввод'!$B$6=1,'Регрессия'!$B$7,'Взвешенная регрессия'!$B$120)^2+(B55*'Ввод'!$B$5)^2))</f>
        <v/>
      </c>
      <c r="L55" s="6">
        <f>IF(K55="","",2*K55)</f>
        <v/>
      </c>
    </row>
    <row r="56">
      <c r="A56" s="6">
        <f>IF('Ввод'!B60="","",ROW()-4)</f>
        <v/>
      </c>
      <c r="B56" s="6">
        <f>IF('Ввод'!B60="","",'Ввод'!B60)</f>
        <v/>
      </c>
      <c r="C56" s="6">
        <f>IF('Ввод'!J60="","",'Ввод'!J60)</f>
        <v/>
      </c>
      <c r="D56" s="6">
        <f>IF(C56="","",C56/SQRT(E56))</f>
        <v/>
      </c>
      <c r="E56" s="6">
        <f>IF(B56="","",COUNT('Ввод'!C60:E60))</f>
        <v/>
      </c>
      <c r="F56" s="6">
        <f>IF(B56="","",IF('Ввод'!$B$6=1,'Регрессия'!$B$7,'Взвешенная регрессия'!$B$120)*B56+IF('Ввод'!$B$6=1,'Регрессия'!$B$8,'Взвешенная регрессия'!$B$121))</f>
        <v/>
      </c>
      <c r="G56" s="6">
        <f>IF(B56="","",IF('Ввод'!$B$6=1,'Регрессия'!$B$6*(1/'Регрессия'!$B$2+(B56-'Регрессия'!$B$3)^2/'Регрессия'!$B$5),'Взвешенная регрессия'!$B$124*(1/'Взвешенная регрессия'!$B$115+(B56-'Взвешенная регрессия'!$B$128)^2/'Взвешенная регрессия'!$B$118)))</f>
        <v/>
      </c>
      <c r="H56" s="6">
        <f>IF(G56="","",SQRT(G56))</f>
        <v/>
      </c>
      <c r="I56" s="6">
        <f>IF(B56="","",SQRT(IF('Ввод'!$B$6=1,'Регрессия'!$B$6,'Взвешенная регрессия'!$B$124)+G56))</f>
        <v/>
      </c>
      <c r="J56" s="6">
        <f>IF(B56="","",SQRT(N(D56)^2+I56^2+(B56*'Ввод'!$B$5)^2))</f>
        <v/>
      </c>
      <c r="K56" s="6">
        <f>IF(B56="","",SQRT(IF('Ввод'!$B$6=1,'Регрессия'!$B$6*(1/E56+1/'Регрессия'!$B$2+(B56-'Регрессия'!$B$3)^2/'Регрессия'!$B$5)+'Регрессия'!$B$10+(B56-'Регрессия'!$B$3)^2*'Регрессия'!$B$9+2*(B56-'Регрессия'!$B$3)*'Регрессия'!$B$11,'Взвешенная регрессия'!$B$124*(1/E56+1/COUNTIFS('Взвешенная регрессия'!$A$11:$A$110,"&gt;=0"))+(B56-'Взвешенная регрессия'!$B$128)^2*'Взвешенная регрессия'!$B$125+'Взвешенная регрессия'!$B$126+2*(B56-'Взвешенная регрессия'!$B$128)*'Взвешенная регрессия'!$B$127)/IF('Ввод'!$B$6=1,'Регрессия'!$B$7,'Взвешенная регрессия'!$B$120)^2+(B56*'Ввод'!$B$5)^2))</f>
        <v/>
      </c>
      <c r="L56" s="6">
        <f>IF(K56="","",2*K56)</f>
        <v/>
      </c>
    </row>
    <row r="57">
      <c r="A57" s="6">
        <f>IF('Ввод'!B61="","",ROW()-4)</f>
        <v/>
      </c>
      <c r="B57" s="6">
        <f>IF('Ввод'!B61="","",'Ввод'!B61)</f>
        <v/>
      </c>
      <c r="C57" s="6">
        <f>IF('Ввод'!J61="","",'Ввод'!J61)</f>
        <v/>
      </c>
      <c r="D57" s="6">
        <f>IF(C57="","",C57/SQRT(E57))</f>
        <v/>
      </c>
      <c r="E57" s="6">
        <f>IF(B57="","",COUNT('Ввод'!C61:E61))</f>
        <v/>
      </c>
      <c r="F57" s="6">
        <f>IF(B57="","",IF('Ввод'!$B$6=1,'Регрессия'!$B$7,'Взвешенная регрессия'!$B$120)*B57+IF('Ввод'!$B$6=1,'Регрессия'!$B$8,'Взвешенная регрессия'!$B$121))</f>
        <v/>
      </c>
      <c r="G57" s="6">
        <f>IF(B57="","",IF('Ввод'!$B$6=1,'Регрессия'!$B$6*(1/'Регрессия'!$B$2+(B57-'Регрессия'!$B$3)^2/'Регрессия'!$B$5),'Взвешенная регрессия'!$B$124*(1/'Взвешенная регрессия'!$B$115+(B57-'Взвешенная регрессия'!$B$128)^2/'Взвешенная регрессия'!$B$118)))</f>
        <v/>
      </c>
      <c r="H57" s="6">
        <f>IF(G57="","",SQRT(G57))</f>
        <v/>
      </c>
      <c r="I57" s="6">
        <f>IF(B57="","",SQRT(IF('Ввод'!$B$6=1,'Регрессия'!$B$6,'Взвешенная регрессия'!$B$124)+G57))</f>
        <v/>
      </c>
      <c r="J57" s="6">
        <f>IF(B57="","",SQRT(N(D57)^2+I57^2+(B57*'Ввод'!$B$5)^2))</f>
        <v/>
      </c>
      <c r="K57" s="6">
        <f>IF(B57="","",SQRT(IF('Ввод'!$B$6=1,'Регрессия'!$B$6*(1/E57+1/'Регрессия'!$B$2+(B57-'Регрессия'!$B$3)^2/'Регрессия'!$B$5)+'Регрессия'!$B$10+(B57-'Регрессия'!$B$3)^2*'Регрессия'!$B$9+2*(B57-'Регрессия'!$B$3)*'Регрессия'!$B$11,'Взвешенная регрессия'!$B$124*(1/E57+1/COUNTIFS('Взвешенная регрессия'!$A$11:$A$110,"&gt;=0"))+(B57-'Взвешенная регрессия'!$B$128)^2*'Взвешенная регрессия'!$B$125+'Взвешенная регрессия'!$B$126+2*(B57-'Взвешенная регрессия'!$B$128)*'Взвешенная регрессия'!$B$127)/IF('Ввод'!$B$6=1,'Регрессия'!$B$7,'Взвешенная регрессия'!$B$120)^2+(B57*'Ввод'!$B$5)^2))</f>
        <v/>
      </c>
      <c r="L57" s="6">
        <f>IF(K57="","",2*K57)</f>
        <v/>
      </c>
    </row>
    <row r="58">
      <c r="A58" s="6">
        <f>IF('Ввод'!B62="","",ROW()-4)</f>
        <v/>
      </c>
      <c r="B58" s="6">
        <f>IF('Ввод'!B62="","",'Ввод'!B62)</f>
        <v/>
      </c>
      <c r="C58" s="6">
        <f>IF('Ввод'!J62="","",'Ввод'!J62)</f>
        <v/>
      </c>
      <c r="D58" s="6">
        <f>IF(C58="","",C58/SQRT(E58))</f>
        <v/>
      </c>
      <c r="E58" s="6">
        <f>IF(B58="","",COUNT('Ввод'!C62:E62))</f>
        <v/>
      </c>
      <c r="F58" s="6">
        <f>IF(B58="","",IF('Ввод'!$B$6=1,'Регрессия'!$B$7,'Взвешенная регрессия'!$B$120)*B58+IF('Ввод'!$B$6=1,'Регрессия'!$B$8,'Взвешенная регрессия'!$B$121))</f>
        <v/>
      </c>
      <c r="G58" s="6">
        <f>IF(B58="","",IF('Ввод'!$B$6=1,'Регрессия'!$B$6*(1/'Регрессия'!$B$2+(B58-'Регрессия'!$B$3)^2/'Регрессия'!$B$5),'Взвешенная регрессия'!$B$124*(1/'Взвешенная регрессия'!$B$115+(B58-'Взвешенная регрессия'!$B$128)^2/'Взвешенная регрессия'!$B$118)))</f>
        <v/>
      </c>
      <c r="H58" s="6">
        <f>IF(G58="","",SQRT(G58))</f>
        <v/>
      </c>
      <c r="I58" s="6">
        <f>IF(B58="","",SQRT(IF('Ввод'!$B$6=1,'Регрессия'!$B$6,'Взвешенная регрессия'!$B$124)+G58))</f>
        <v/>
      </c>
      <c r="J58" s="6">
        <f>IF(B58="","",SQRT(N(D58)^2+I58^2+(B58*'Ввод'!$B$5)^2))</f>
        <v/>
      </c>
      <c r="K58" s="6">
        <f>IF(B58="","",SQRT(IF('Ввод'!$B$6=1,'Регрессия'!$B$6*(1/E58+1/'Регрессия'!$B$2+(B58-'Регрессия'!$B$3)^2/'Регрессия'!$B$5)+'Регрессия'!$B$10+(B58-'Регрессия'!$B$3)^2*'Регрессия'!$B$9+2*(B58-'Регрессия'!$B$3)*'Регрессия'!$B$11,'Взвешенная регрессия'!$B$124*(1/E58+1/COUNTIFS('Взвешенная регрессия'!$A$11:$A$110,"&gt;=0"))+(B58-'Взвешенная регрессия'!$B$128)^2*'Взвешенная регрессия'!$B$125+'Взвешенная регрессия'!$B$126+2*(B58-'Взвешенная регрессия'!$B$128)*'Взвешенная регрессия'!$B$127)/IF('Ввод'!$B$6=1,'Регрессия'!$B$7,'Взвешенная регрессия'!$B$120)^2+(B58*'Ввод'!$B$5)^2))</f>
        <v/>
      </c>
      <c r="L58" s="6">
        <f>IF(K58="","",2*K58)</f>
        <v/>
      </c>
    </row>
    <row r="59">
      <c r="A59" s="6">
        <f>IF('Ввод'!B63="","",ROW()-4)</f>
        <v/>
      </c>
      <c r="B59" s="6">
        <f>IF('Ввод'!B63="","",'Ввод'!B63)</f>
        <v/>
      </c>
      <c r="C59" s="6">
        <f>IF('Ввод'!J63="","",'Ввод'!J63)</f>
        <v/>
      </c>
      <c r="D59" s="6">
        <f>IF(C59="","",C59/SQRT(E59))</f>
        <v/>
      </c>
      <c r="E59" s="6">
        <f>IF(B59="","",COUNT('Ввод'!C63:E63))</f>
        <v/>
      </c>
      <c r="F59" s="6">
        <f>IF(B59="","",IF('Ввод'!$B$6=1,'Регрессия'!$B$7,'Взвешенная регрессия'!$B$120)*B59+IF('Ввод'!$B$6=1,'Регрессия'!$B$8,'Взвешенная регрессия'!$B$121))</f>
        <v/>
      </c>
      <c r="G59" s="6">
        <f>IF(B59="","",IF('Ввод'!$B$6=1,'Регрессия'!$B$6*(1/'Регрессия'!$B$2+(B59-'Регрессия'!$B$3)^2/'Регрессия'!$B$5),'Взвешенная регрессия'!$B$124*(1/'Взвешенная регрессия'!$B$115+(B59-'Взвешенная регрессия'!$B$128)^2/'Взвешенная регрессия'!$B$118)))</f>
        <v/>
      </c>
      <c r="H59" s="6">
        <f>IF(G59="","",SQRT(G59))</f>
        <v/>
      </c>
      <c r="I59" s="6">
        <f>IF(B59="","",SQRT(IF('Ввод'!$B$6=1,'Регрессия'!$B$6,'Взвешенная регрессия'!$B$124)+G59))</f>
        <v/>
      </c>
      <c r="J59" s="6">
        <f>IF(B59="","",SQRT(N(D59)^2+I59^2+(B59*'Ввод'!$B$5)^2))</f>
        <v/>
      </c>
      <c r="K59" s="6">
        <f>IF(B59="","",SQRT(IF('Ввод'!$B$6=1,'Регрессия'!$B$6*(1/E59+1/'Регрессия'!$B$2+(B59-'Регрессия'!$B$3)^2/'Регрессия'!$B$5)+'Регрессия'!$B$10+(B59-'Регрессия'!$B$3)^2*'Регрессия'!$B$9+2*(B59-'Регрессия'!$B$3)*'Регрессия'!$B$11,'Взвешенная регрессия'!$B$124*(1/E59+1/COUNTIFS('Взвешенная регрессия'!$A$11:$A$110,"&gt;=0"))+(B59-'Взвешенная регрессия'!$B$128)^2*'Взвешенная регрессия'!$B$125+'Взвешенная регрессия'!$B$126+2*(B59-'Взвешенная регрессия'!$B$128)*'Взвешенная регрессия'!$B$127)/IF('Ввод'!$B$6=1,'Регрессия'!$B$7,'Взвешенная регрессия'!$B$120)^2+(B59*'Ввод'!$B$5)^2))</f>
        <v/>
      </c>
      <c r="L59" s="6">
        <f>IF(K59="","",2*K59)</f>
        <v/>
      </c>
    </row>
    <row r="60">
      <c r="A60" s="6">
        <f>IF('Ввод'!B64="","",ROW()-4)</f>
        <v/>
      </c>
      <c r="B60" s="6">
        <f>IF('Ввод'!B64="","",'Ввод'!B64)</f>
        <v/>
      </c>
      <c r="C60" s="6">
        <f>IF('Ввод'!J64="","",'Ввод'!J64)</f>
        <v/>
      </c>
      <c r="D60" s="6">
        <f>IF(C60="","",C60/SQRT(E60))</f>
        <v/>
      </c>
      <c r="E60" s="6">
        <f>IF(B60="","",COUNT('Ввод'!C64:E64))</f>
        <v/>
      </c>
      <c r="F60" s="6">
        <f>IF(B60="","",IF('Ввод'!$B$6=1,'Регрессия'!$B$7,'Взвешенная регрессия'!$B$120)*B60+IF('Ввод'!$B$6=1,'Регрессия'!$B$8,'Взвешенная регрессия'!$B$121))</f>
        <v/>
      </c>
      <c r="G60" s="6">
        <f>IF(B60="","",IF('Ввод'!$B$6=1,'Регрессия'!$B$6*(1/'Регрессия'!$B$2+(B60-'Регрессия'!$B$3)^2/'Регрессия'!$B$5),'Взвешенная регрессия'!$B$124*(1/'Взвешенная регрессия'!$B$115+(B60-'Взвешенная регрессия'!$B$128)^2/'Взвешенная регрессия'!$B$118)))</f>
        <v/>
      </c>
      <c r="H60" s="6">
        <f>IF(G60="","",SQRT(G60))</f>
        <v/>
      </c>
      <c r="I60" s="6">
        <f>IF(B60="","",SQRT(IF('Ввод'!$B$6=1,'Регрессия'!$B$6,'Взвешенная регрессия'!$B$124)+G60))</f>
        <v/>
      </c>
      <c r="J60" s="6">
        <f>IF(B60="","",SQRT(N(D60)^2+I60^2+(B60*'Ввод'!$B$5)^2))</f>
        <v/>
      </c>
      <c r="K60" s="6">
        <f>IF(B60="","",SQRT(IF('Ввод'!$B$6=1,'Регрессия'!$B$6*(1/E60+1/'Регрессия'!$B$2+(B60-'Регрессия'!$B$3)^2/'Регрессия'!$B$5)+'Регрессия'!$B$10+(B60-'Регрессия'!$B$3)^2*'Регрессия'!$B$9+2*(B60-'Регрессия'!$B$3)*'Регрессия'!$B$11,'Взвешенная регрессия'!$B$124*(1/E60+1/COUNTIFS('Взвешенная регрессия'!$A$11:$A$110,"&gt;=0"))+(B60-'Взвешенная регрессия'!$B$128)^2*'Взвешенная регрессия'!$B$125+'Взвешенная регрессия'!$B$126+2*(B60-'Взвешенная регрессия'!$B$128)*'Взвешенная регрессия'!$B$127)/IF('Ввод'!$B$6=1,'Регрессия'!$B$7,'Взвешенная регрессия'!$B$120)^2+(B60*'Ввод'!$B$5)^2))</f>
        <v/>
      </c>
      <c r="L60" s="6">
        <f>IF(K60="","",2*K60)</f>
        <v/>
      </c>
    </row>
    <row r="61">
      <c r="A61" s="6">
        <f>IF('Ввод'!B65="","",ROW()-4)</f>
        <v/>
      </c>
      <c r="B61" s="6">
        <f>IF('Ввод'!B65="","",'Ввод'!B65)</f>
        <v/>
      </c>
      <c r="C61" s="6">
        <f>IF('Ввод'!J65="","",'Ввод'!J65)</f>
        <v/>
      </c>
      <c r="D61" s="6">
        <f>IF(C61="","",C61/SQRT(E61))</f>
        <v/>
      </c>
      <c r="E61" s="6">
        <f>IF(B61="","",COUNT('Ввод'!C65:E65))</f>
        <v/>
      </c>
      <c r="F61" s="6">
        <f>IF(B61="","",IF('Ввод'!$B$6=1,'Регрессия'!$B$7,'Взвешенная регрессия'!$B$120)*B61+IF('Ввод'!$B$6=1,'Регрессия'!$B$8,'Взвешенная регрессия'!$B$121))</f>
        <v/>
      </c>
      <c r="G61" s="6">
        <f>IF(B61="","",IF('Ввод'!$B$6=1,'Регрессия'!$B$6*(1/'Регрессия'!$B$2+(B61-'Регрессия'!$B$3)^2/'Регрессия'!$B$5),'Взвешенная регрессия'!$B$124*(1/'Взвешенная регрессия'!$B$115+(B61-'Взвешенная регрессия'!$B$128)^2/'Взвешенная регрессия'!$B$118)))</f>
        <v/>
      </c>
      <c r="H61" s="6">
        <f>IF(G61="","",SQRT(G61))</f>
        <v/>
      </c>
      <c r="I61" s="6">
        <f>IF(B61="","",SQRT(IF('Ввод'!$B$6=1,'Регрессия'!$B$6,'Взвешенная регрессия'!$B$124)+G61))</f>
        <v/>
      </c>
      <c r="J61" s="6">
        <f>IF(B61="","",SQRT(N(D61)^2+I61^2+(B61*'Ввод'!$B$5)^2))</f>
        <v/>
      </c>
      <c r="K61" s="6">
        <f>IF(B61="","",SQRT(IF('Ввод'!$B$6=1,'Регрессия'!$B$6*(1/E61+1/'Регрессия'!$B$2+(B61-'Регрессия'!$B$3)^2/'Регрессия'!$B$5)+'Регрессия'!$B$10+(B61-'Регрессия'!$B$3)^2*'Регрессия'!$B$9+2*(B61-'Регрессия'!$B$3)*'Регрессия'!$B$11,'Взвешенная регрессия'!$B$124*(1/E61+1/COUNTIFS('Взвешенная регрессия'!$A$11:$A$110,"&gt;=0"))+(B61-'Взвешенная регрессия'!$B$128)^2*'Взвешенная регрессия'!$B$125+'Взвешенная регрессия'!$B$126+2*(B61-'Взвешенная регрессия'!$B$128)*'Взвешенная регрессия'!$B$127)/IF('Ввод'!$B$6=1,'Регрессия'!$B$7,'Взвешенная регрессия'!$B$120)^2+(B61*'Ввод'!$B$5)^2))</f>
        <v/>
      </c>
      <c r="L61" s="6">
        <f>IF(K61="","",2*K61)</f>
        <v/>
      </c>
    </row>
    <row r="62">
      <c r="A62" s="6">
        <f>IF('Ввод'!B66="","",ROW()-4)</f>
        <v/>
      </c>
      <c r="B62" s="6">
        <f>IF('Ввод'!B66="","",'Ввод'!B66)</f>
        <v/>
      </c>
      <c r="C62" s="6">
        <f>IF('Ввод'!J66="","",'Ввод'!J66)</f>
        <v/>
      </c>
      <c r="D62" s="6">
        <f>IF(C62="","",C62/SQRT(E62))</f>
        <v/>
      </c>
      <c r="E62" s="6">
        <f>IF(B62="","",COUNT('Ввод'!C66:E66))</f>
        <v/>
      </c>
      <c r="F62" s="6">
        <f>IF(B62="","",IF('Ввод'!$B$6=1,'Регрессия'!$B$7,'Взвешенная регрессия'!$B$120)*B62+IF('Ввод'!$B$6=1,'Регрессия'!$B$8,'Взвешенная регрессия'!$B$121))</f>
        <v/>
      </c>
      <c r="G62" s="6">
        <f>IF(B62="","",IF('Ввод'!$B$6=1,'Регрессия'!$B$6*(1/'Регрессия'!$B$2+(B62-'Регрессия'!$B$3)^2/'Регрессия'!$B$5),'Взвешенная регрессия'!$B$124*(1/'Взвешенная регрессия'!$B$115+(B62-'Взвешенная регрессия'!$B$128)^2/'Взвешенная регрессия'!$B$118)))</f>
        <v/>
      </c>
      <c r="H62" s="6">
        <f>IF(G62="","",SQRT(G62))</f>
        <v/>
      </c>
      <c r="I62" s="6">
        <f>IF(B62="","",SQRT(IF('Ввод'!$B$6=1,'Регрессия'!$B$6,'Взвешенная регрессия'!$B$124)+G62))</f>
        <v/>
      </c>
      <c r="J62" s="6">
        <f>IF(B62="","",SQRT(N(D62)^2+I62^2+(B62*'Ввод'!$B$5)^2))</f>
        <v/>
      </c>
      <c r="K62" s="6">
        <f>IF(B62="","",SQRT(IF('Ввод'!$B$6=1,'Регрессия'!$B$6*(1/E62+1/'Регрессия'!$B$2+(B62-'Регрессия'!$B$3)^2/'Регрессия'!$B$5)+'Регрессия'!$B$10+(B62-'Регрессия'!$B$3)^2*'Регрессия'!$B$9+2*(B62-'Регрессия'!$B$3)*'Регрессия'!$B$11,'Взвешенная регрессия'!$B$124*(1/E62+1/COUNTIFS('Взвешенная регрессия'!$A$11:$A$110,"&gt;=0"))+(B62-'Взвешенная регрессия'!$B$128)^2*'Взвешенная регрессия'!$B$125+'Взвешенная регрессия'!$B$126+2*(B62-'Взвешенная регрессия'!$B$128)*'Взвешенная регрессия'!$B$127)/IF('Ввод'!$B$6=1,'Регрессия'!$B$7,'Взвешенная регрессия'!$B$120)^2+(B62*'Ввод'!$B$5)^2))</f>
        <v/>
      </c>
      <c r="L62" s="6">
        <f>IF(K62="","",2*K62)</f>
        <v/>
      </c>
    </row>
    <row r="63">
      <c r="A63" s="6">
        <f>IF('Ввод'!B67="","",ROW()-4)</f>
        <v/>
      </c>
      <c r="B63" s="6">
        <f>IF('Ввод'!B67="","",'Ввод'!B67)</f>
        <v/>
      </c>
      <c r="C63" s="6">
        <f>IF('Ввод'!J67="","",'Ввод'!J67)</f>
        <v/>
      </c>
      <c r="D63" s="6">
        <f>IF(C63="","",C63/SQRT(E63))</f>
        <v/>
      </c>
      <c r="E63" s="6">
        <f>IF(B63="","",COUNT('Ввод'!C67:E67))</f>
        <v/>
      </c>
      <c r="F63" s="6">
        <f>IF(B63="","",IF('Ввод'!$B$6=1,'Регрессия'!$B$7,'Взвешенная регрессия'!$B$120)*B63+IF('Ввод'!$B$6=1,'Регрессия'!$B$8,'Взвешенная регрессия'!$B$121))</f>
        <v/>
      </c>
      <c r="G63" s="6">
        <f>IF(B63="","",IF('Ввод'!$B$6=1,'Регрессия'!$B$6*(1/'Регрессия'!$B$2+(B63-'Регрессия'!$B$3)^2/'Регрессия'!$B$5),'Взвешенная регрессия'!$B$124*(1/'Взвешенная регрессия'!$B$115+(B63-'Взвешенная регрессия'!$B$128)^2/'Взвешенная регрессия'!$B$118)))</f>
        <v/>
      </c>
      <c r="H63" s="6">
        <f>IF(G63="","",SQRT(G63))</f>
        <v/>
      </c>
      <c r="I63" s="6">
        <f>IF(B63="","",SQRT(IF('Ввод'!$B$6=1,'Регрессия'!$B$6,'Взвешенная регрессия'!$B$124)+G63))</f>
        <v/>
      </c>
      <c r="J63" s="6">
        <f>IF(B63="","",SQRT(N(D63)^2+I63^2+(B63*'Ввод'!$B$5)^2))</f>
        <v/>
      </c>
      <c r="K63" s="6">
        <f>IF(B63="","",SQRT(IF('Ввод'!$B$6=1,'Регрессия'!$B$6*(1/E63+1/'Регрессия'!$B$2+(B63-'Регрессия'!$B$3)^2/'Регрессия'!$B$5)+'Регрессия'!$B$10+(B63-'Регрессия'!$B$3)^2*'Регрессия'!$B$9+2*(B63-'Регрессия'!$B$3)*'Регрессия'!$B$11,'Взвешенная регрессия'!$B$124*(1/E63+1/COUNTIFS('Взвешенная регрессия'!$A$11:$A$110,"&gt;=0"))+(B63-'Взвешенная регрессия'!$B$128)^2*'Взвешенная регрессия'!$B$125+'Взвешенная регрессия'!$B$126+2*(B63-'Взвешенная регрессия'!$B$128)*'Взвешенная регрессия'!$B$127)/IF('Ввод'!$B$6=1,'Регрессия'!$B$7,'Взвешенная регрессия'!$B$120)^2+(B63*'Ввод'!$B$5)^2))</f>
        <v/>
      </c>
      <c r="L63" s="6">
        <f>IF(K63="","",2*K63)</f>
        <v/>
      </c>
    </row>
    <row r="64">
      <c r="A64" s="6">
        <f>IF('Ввод'!B68="","",ROW()-4)</f>
        <v/>
      </c>
      <c r="B64" s="6">
        <f>IF('Ввод'!B68="","",'Ввод'!B68)</f>
        <v/>
      </c>
      <c r="C64" s="6">
        <f>IF('Ввод'!J68="","",'Ввод'!J68)</f>
        <v/>
      </c>
      <c r="D64" s="6">
        <f>IF(C64="","",C64/SQRT(E64))</f>
        <v/>
      </c>
      <c r="E64" s="6">
        <f>IF(B64="","",COUNT('Ввод'!C68:E68))</f>
        <v/>
      </c>
      <c r="F64" s="6">
        <f>IF(B64="","",IF('Ввод'!$B$6=1,'Регрессия'!$B$7,'Взвешенная регрессия'!$B$120)*B64+IF('Ввод'!$B$6=1,'Регрессия'!$B$8,'Взвешенная регрессия'!$B$121))</f>
        <v/>
      </c>
      <c r="G64" s="6">
        <f>IF(B64="","",IF('Ввод'!$B$6=1,'Регрессия'!$B$6*(1/'Регрессия'!$B$2+(B64-'Регрессия'!$B$3)^2/'Регрессия'!$B$5),'Взвешенная регрессия'!$B$124*(1/'Взвешенная регрессия'!$B$115+(B64-'Взвешенная регрессия'!$B$128)^2/'Взвешенная регрессия'!$B$118)))</f>
        <v/>
      </c>
      <c r="H64" s="6">
        <f>IF(G64="","",SQRT(G64))</f>
        <v/>
      </c>
      <c r="I64" s="6">
        <f>IF(B64="","",SQRT(IF('Ввод'!$B$6=1,'Регрессия'!$B$6,'Взвешенная регрессия'!$B$124)+G64))</f>
        <v/>
      </c>
      <c r="J64" s="6">
        <f>IF(B64="","",SQRT(N(D64)^2+I64^2+(B64*'Ввод'!$B$5)^2))</f>
        <v/>
      </c>
      <c r="K64" s="6">
        <f>IF(B64="","",SQRT(IF('Ввод'!$B$6=1,'Регрессия'!$B$6*(1/E64+1/'Регрессия'!$B$2+(B64-'Регрессия'!$B$3)^2/'Регрессия'!$B$5)+'Регрессия'!$B$10+(B64-'Регрессия'!$B$3)^2*'Регрессия'!$B$9+2*(B64-'Регрессия'!$B$3)*'Регрессия'!$B$11,'Взвешенная регрессия'!$B$124*(1/E64+1/COUNTIFS('Взвешенная регрессия'!$A$11:$A$110,"&gt;=0"))+(B64-'Взвешенная регрессия'!$B$128)^2*'Взвешенная регрессия'!$B$125+'Взвешенная регрессия'!$B$126+2*(B64-'Взвешенная регрессия'!$B$128)*'Взвешенная регрессия'!$B$127)/IF('Ввод'!$B$6=1,'Регрессия'!$B$7,'Взвешенная регрессия'!$B$120)^2+(B64*'Ввод'!$B$5)^2))</f>
        <v/>
      </c>
      <c r="L64" s="6">
        <f>IF(K64="","",2*K64)</f>
        <v/>
      </c>
    </row>
    <row r="65">
      <c r="A65" s="6">
        <f>IF('Ввод'!B69="","",ROW()-4)</f>
        <v/>
      </c>
      <c r="B65" s="6">
        <f>IF('Ввод'!B69="","",'Ввод'!B69)</f>
        <v/>
      </c>
      <c r="C65" s="6">
        <f>IF('Ввод'!J69="","",'Ввод'!J69)</f>
        <v/>
      </c>
      <c r="D65" s="6">
        <f>IF(C65="","",C65/SQRT(E65))</f>
        <v/>
      </c>
      <c r="E65" s="6">
        <f>IF(B65="","",COUNT('Ввод'!C69:E69))</f>
        <v/>
      </c>
      <c r="F65" s="6">
        <f>IF(B65="","",IF('Ввод'!$B$6=1,'Регрессия'!$B$7,'Взвешенная регрессия'!$B$120)*B65+IF('Ввод'!$B$6=1,'Регрессия'!$B$8,'Взвешенная регрессия'!$B$121))</f>
        <v/>
      </c>
      <c r="G65" s="6">
        <f>IF(B65="","",IF('Ввод'!$B$6=1,'Регрессия'!$B$6*(1/'Регрессия'!$B$2+(B65-'Регрессия'!$B$3)^2/'Регрессия'!$B$5),'Взвешенная регрессия'!$B$124*(1/'Взвешенная регрессия'!$B$115+(B65-'Взвешенная регрессия'!$B$128)^2/'Взвешенная регрессия'!$B$118)))</f>
        <v/>
      </c>
      <c r="H65" s="6">
        <f>IF(G65="","",SQRT(G65))</f>
        <v/>
      </c>
      <c r="I65" s="6">
        <f>IF(B65="","",SQRT(IF('Ввод'!$B$6=1,'Регрессия'!$B$6,'Взвешенная регрессия'!$B$124)+G65))</f>
        <v/>
      </c>
      <c r="J65" s="6">
        <f>IF(B65="","",SQRT(N(D65)^2+I65^2+(B65*'Ввод'!$B$5)^2))</f>
        <v/>
      </c>
      <c r="K65" s="6">
        <f>IF(B65="","",SQRT(IF('Ввод'!$B$6=1,'Регрессия'!$B$6*(1/E65+1/'Регрессия'!$B$2+(B65-'Регрессия'!$B$3)^2/'Регрессия'!$B$5)+'Регрессия'!$B$10+(B65-'Регрессия'!$B$3)^2*'Регрессия'!$B$9+2*(B65-'Регрессия'!$B$3)*'Регрессия'!$B$11,'Взвешенная регрессия'!$B$124*(1/E65+1/COUNTIFS('Взвешенная регрессия'!$A$11:$A$110,"&gt;=0"))+(B65-'Взвешенная регрессия'!$B$128)^2*'Взвешенная регрессия'!$B$125+'Взвешенная регрессия'!$B$126+2*(B65-'Взвешенная регрессия'!$B$128)*'Взвешенная регрессия'!$B$127)/IF('Ввод'!$B$6=1,'Регрессия'!$B$7,'Взвешенная регрессия'!$B$120)^2+(B65*'Ввод'!$B$5)^2))</f>
        <v/>
      </c>
      <c r="L65" s="6">
        <f>IF(K65="","",2*K65)</f>
        <v/>
      </c>
    </row>
    <row r="66">
      <c r="A66" s="6">
        <f>IF('Ввод'!B70="","",ROW()-4)</f>
        <v/>
      </c>
      <c r="B66" s="6">
        <f>IF('Ввод'!B70="","",'Ввод'!B70)</f>
        <v/>
      </c>
      <c r="C66" s="6">
        <f>IF('Ввод'!J70="","",'Ввод'!J70)</f>
        <v/>
      </c>
      <c r="D66" s="6">
        <f>IF(C66="","",C66/SQRT(E66))</f>
        <v/>
      </c>
      <c r="E66" s="6">
        <f>IF(B66="","",COUNT('Ввод'!C70:E70))</f>
        <v/>
      </c>
      <c r="F66" s="6">
        <f>IF(B66="","",IF('Ввод'!$B$6=1,'Регрессия'!$B$7,'Взвешенная регрессия'!$B$120)*B66+IF('Ввод'!$B$6=1,'Регрессия'!$B$8,'Взвешенная регрессия'!$B$121))</f>
        <v/>
      </c>
      <c r="G66" s="6">
        <f>IF(B66="","",IF('Ввод'!$B$6=1,'Регрессия'!$B$6*(1/'Регрессия'!$B$2+(B66-'Регрессия'!$B$3)^2/'Регрессия'!$B$5),'Взвешенная регрессия'!$B$124*(1/'Взвешенная регрессия'!$B$115+(B66-'Взвешенная регрессия'!$B$128)^2/'Взвешенная регрессия'!$B$118)))</f>
        <v/>
      </c>
      <c r="H66" s="6">
        <f>IF(G66="","",SQRT(G66))</f>
        <v/>
      </c>
      <c r="I66" s="6">
        <f>IF(B66="","",SQRT(IF('Ввод'!$B$6=1,'Регрессия'!$B$6,'Взвешенная регрессия'!$B$124)+G66))</f>
        <v/>
      </c>
      <c r="J66" s="6">
        <f>IF(B66="","",SQRT(N(D66)^2+I66^2+(B66*'Ввод'!$B$5)^2))</f>
        <v/>
      </c>
      <c r="K66" s="6">
        <f>IF(B66="","",SQRT(IF('Ввод'!$B$6=1,'Регрессия'!$B$6*(1/E66+1/'Регрессия'!$B$2+(B66-'Регрессия'!$B$3)^2/'Регрессия'!$B$5)+'Регрессия'!$B$10+(B66-'Регрессия'!$B$3)^2*'Регрессия'!$B$9+2*(B66-'Регрессия'!$B$3)*'Регрессия'!$B$11,'Взвешенная регрессия'!$B$124*(1/E66+1/COUNTIFS('Взвешенная регрессия'!$A$11:$A$110,"&gt;=0"))+(B66-'Взвешенная регрессия'!$B$128)^2*'Взвешенная регрессия'!$B$125+'Взвешенная регрессия'!$B$126+2*(B66-'Взвешенная регрессия'!$B$128)*'Взвешенная регрессия'!$B$127)/IF('Ввод'!$B$6=1,'Регрессия'!$B$7,'Взвешенная регрессия'!$B$120)^2+(B66*'Ввод'!$B$5)^2))</f>
        <v/>
      </c>
      <c r="L66" s="6">
        <f>IF(K66="","",2*K66)</f>
        <v/>
      </c>
    </row>
    <row r="67">
      <c r="A67" s="6">
        <f>IF('Ввод'!B71="","",ROW()-4)</f>
        <v/>
      </c>
      <c r="B67" s="6">
        <f>IF('Ввод'!B71="","",'Ввод'!B71)</f>
        <v/>
      </c>
      <c r="C67" s="6">
        <f>IF('Ввод'!J71="","",'Ввод'!J71)</f>
        <v/>
      </c>
      <c r="D67" s="6">
        <f>IF(C67="","",C67/SQRT(E67))</f>
        <v/>
      </c>
      <c r="E67" s="6">
        <f>IF(B67="","",COUNT('Ввод'!C71:E71))</f>
        <v/>
      </c>
      <c r="F67" s="6">
        <f>IF(B67="","",IF('Ввод'!$B$6=1,'Регрессия'!$B$7,'Взвешенная регрессия'!$B$120)*B67+IF('Ввод'!$B$6=1,'Регрессия'!$B$8,'Взвешенная регрессия'!$B$121))</f>
        <v/>
      </c>
      <c r="G67" s="6">
        <f>IF(B67="","",IF('Ввод'!$B$6=1,'Регрессия'!$B$6*(1/'Регрессия'!$B$2+(B67-'Регрессия'!$B$3)^2/'Регрессия'!$B$5),'Взвешенная регрессия'!$B$124*(1/'Взвешенная регрессия'!$B$115+(B67-'Взвешенная регрессия'!$B$128)^2/'Взвешенная регрессия'!$B$118)))</f>
        <v/>
      </c>
      <c r="H67" s="6">
        <f>IF(G67="","",SQRT(G67))</f>
        <v/>
      </c>
      <c r="I67" s="6">
        <f>IF(B67="","",SQRT(IF('Ввод'!$B$6=1,'Регрессия'!$B$6,'Взвешенная регрессия'!$B$124)+G67))</f>
        <v/>
      </c>
      <c r="J67" s="6">
        <f>IF(B67="","",SQRT(N(D67)^2+I67^2+(B67*'Ввод'!$B$5)^2))</f>
        <v/>
      </c>
      <c r="K67" s="6">
        <f>IF(B67="","",SQRT(IF('Ввод'!$B$6=1,'Регрессия'!$B$6*(1/E67+1/'Регрессия'!$B$2+(B67-'Регрессия'!$B$3)^2/'Регрессия'!$B$5)+'Регрессия'!$B$10+(B67-'Регрессия'!$B$3)^2*'Регрессия'!$B$9+2*(B67-'Регрессия'!$B$3)*'Регрессия'!$B$11,'Взвешенная регрессия'!$B$124*(1/E67+1/COUNTIFS('Взвешенная регрессия'!$A$11:$A$110,"&gt;=0"))+(B67-'Взвешенная регрессия'!$B$128)^2*'Взвешенная регрессия'!$B$125+'Взвешенная регрессия'!$B$126+2*(B67-'Взвешенная регрессия'!$B$128)*'Взвешенная регрессия'!$B$127)/IF('Ввод'!$B$6=1,'Регрессия'!$B$7,'Взвешенная регрессия'!$B$120)^2+(B67*'Ввод'!$B$5)^2))</f>
        <v/>
      </c>
      <c r="L67" s="6">
        <f>IF(K67="","",2*K67)</f>
        <v/>
      </c>
    </row>
    <row r="68">
      <c r="A68" s="6">
        <f>IF('Ввод'!B72="","",ROW()-4)</f>
        <v/>
      </c>
      <c r="B68" s="6">
        <f>IF('Ввод'!B72="","",'Ввод'!B72)</f>
        <v/>
      </c>
      <c r="C68" s="6">
        <f>IF('Ввод'!J72="","",'Ввод'!J72)</f>
        <v/>
      </c>
      <c r="D68" s="6">
        <f>IF(C68="","",C68/SQRT(E68))</f>
        <v/>
      </c>
      <c r="E68" s="6">
        <f>IF(B68="","",COUNT('Ввод'!C72:E72))</f>
        <v/>
      </c>
      <c r="F68" s="6">
        <f>IF(B68="","",IF('Ввод'!$B$6=1,'Регрессия'!$B$7,'Взвешенная регрессия'!$B$120)*B68+IF('Ввод'!$B$6=1,'Регрессия'!$B$8,'Взвешенная регрессия'!$B$121))</f>
        <v/>
      </c>
      <c r="G68" s="6">
        <f>IF(B68="","",IF('Ввод'!$B$6=1,'Регрессия'!$B$6*(1/'Регрессия'!$B$2+(B68-'Регрессия'!$B$3)^2/'Регрессия'!$B$5),'Взвешенная регрессия'!$B$124*(1/'Взвешенная регрессия'!$B$115+(B68-'Взвешенная регрессия'!$B$128)^2/'Взвешенная регрессия'!$B$118)))</f>
        <v/>
      </c>
      <c r="H68" s="6">
        <f>IF(G68="","",SQRT(G68))</f>
        <v/>
      </c>
      <c r="I68" s="6">
        <f>IF(B68="","",SQRT(IF('Ввод'!$B$6=1,'Регрессия'!$B$6,'Взвешенная регрессия'!$B$124)+G68))</f>
        <v/>
      </c>
      <c r="J68" s="6">
        <f>IF(B68="","",SQRT(N(D68)^2+I68^2+(B68*'Ввод'!$B$5)^2))</f>
        <v/>
      </c>
      <c r="K68" s="6">
        <f>IF(B68="","",SQRT(IF('Ввод'!$B$6=1,'Регрессия'!$B$6*(1/E68+1/'Регрессия'!$B$2+(B68-'Регрессия'!$B$3)^2/'Регрессия'!$B$5)+'Регрессия'!$B$10+(B68-'Регрессия'!$B$3)^2*'Регрессия'!$B$9+2*(B68-'Регрессия'!$B$3)*'Регрессия'!$B$11,'Взвешенная регрессия'!$B$124*(1/E68+1/COUNTIFS('Взвешенная регрессия'!$A$11:$A$110,"&gt;=0"))+(B68-'Взвешенная регрессия'!$B$128)^2*'Взвешенная регрессия'!$B$125+'Взвешенная регрессия'!$B$126+2*(B68-'Взвешенная регрессия'!$B$128)*'Взвешенная регрессия'!$B$127)/IF('Ввод'!$B$6=1,'Регрессия'!$B$7,'Взвешенная регрессия'!$B$120)^2+(B68*'Ввод'!$B$5)^2))</f>
        <v/>
      </c>
      <c r="L68" s="6">
        <f>IF(K68="","",2*K68)</f>
        <v/>
      </c>
    </row>
    <row r="69">
      <c r="A69" s="6">
        <f>IF('Ввод'!B73="","",ROW()-4)</f>
        <v/>
      </c>
      <c r="B69" s="6">
        <f>IF('Ввод'!B73="","",'Ввод'!B73)</f>
        <v/>
      </c>
      <c r="C69" s="6">
        <f>IF('Ввод'!J73="","",'Ввод'!J73)</f>
        <v/>
      </c>
      <c r="D69" s="6">
        <f>IF(C69="","",C69/SQRT(E69))</f>
        <v/>
      </c>
      <c r="E69" s="6">
        <f>IF(B69="","",COUNT('Ввод'!C73:E73))</f>
        <v/>
      </c>
      <c r="F69" s="6">
        <f>IF(B69="","",IF('Ввод'!$B$6=1,'Регрессия'!$B$7,'Взвешенная регрессия'!$B$120)*B69+IF('Ввод'!$B$6=1,'Регрессия'!$B$8,'Взвешенная регрессия'!$B$121))</f>
        <v/>
      </c>
      <c r="G69" s="6">
        <f>IF(B69="","",IF('Ввод'!$B$6=1,'Регрессия'!$B$6*(1/'Регрессия'!$B$2+(B69-'Регрессия'!$B$3)^2/'Регрессия'!$B$5),'Взвешенная регрессия'!$B$124*(1/'Взвешенная регрессия'!$B$115+(B69-'Взвешенная регрессия'!$B$128)^2/'Взвешенная регрессия'!$B$118)))</f>
        <v/>
      </c>
      <c r="H69" s="6">
        <f>IF(G69="","",SQRT(G69))</f>
        <v/>
      </c>
      <c r="I69" s="6">
        <f>IF(B69="","",SQRT(IF('Ввод'!$B$6=1,'Регрессия'!$B$6,'Взвешенная регрессия'!$B$124)+G69))</f>
        <v/>
      </c>
      <c r="J69" s="6">
        <f>IF(B69="","",SQRT(N(D69)^2+I69^2+(B69*'Ввод'!$B$5)^2))</f>
        <v/>
      </c>
      <c r="K69" s="6">
        <f>IF(B69="","",SQRT(IF('Ввод'!$B$6=1,'Регрессия'!$B$6*(1/E69+1/'Регрессия'!$B$2+(B69-'Регрессия'!$B$3)^2/'Регрессия'!$B$5)+'Регрессия'!$B$10+(B69-'Регрессия'!$B$3)^2*'Регрессия'!$B$9+2*(B69-'Регрессия'!$B$3)*'Регрессия'!$B$11,'Взвешенная регрессия'!$B$124*(1/E69+1/COUNTIFS('Взвешенная регрессия'!$A$11:$A$110,"&gt;=0"))+(B69-'Взвешенная регрессия'!$B$128)^2*'Взвешенная регрессия'!$B$125+'Взвешенная регрессия'!$B$126+2*(B69-'Взвешенная регрессия'!$B$128)*'Взвешенная регрессия'!$B$127)/IF('Ввод'!$B$6=1,'Регрессия'!$B$7,'Взвешенная регрессия'!$B$120)^2+(B69*'Ввод'!$B$5)^2))</f>
        <v/>
      </c>
      <c r="L69" s="6">
        <f>IF(K69="","",2*K69)</f>
        <v/>
      </c>
    </row>
    <row r="70">
      <c r="A70" s="6">
        <f>IF('Ввод'!B74="","",ROW()-4)</f>
        <v/>
      </c>
      <c r="B70" s="6">
        <f>IF('Ввод'!B74="","",'Ввод'!B74)</f>
        <v/>
      </c>
      <c r="C70" s="6">
        <f>IF('Ввод'!J74="","",'Ввод'!J74)</f>
        <v/>
      </c>
      <c r="D70" s="6">
        <f>IF(C70="","",C70/SQRT(E70))</f>
        <v/>
      </c>
      <c r="E70" s="6">
        <f>IF(B70="","",COUNT('Ввод'!C74:E74))</f>
        <v/>
      </c>
      <c r="F70" s="6">
        <f>IF(B70="","",IF('Ввод'!$B$6=1,'Регрессия'!$B$7,'Взвешенная регрессия'!$B$120)*B70+IF('Ввод'!$B$6=1,'Регрессия'!$B$8,'Взвешенная регрессия'!$B$121))</f>
        <v/>
      </c>
      <c r="G70" s="6">
        <f>IF(B70="","",IF('Ввод'!$B$6=1,'Регрессия'!$B$6*(1/'Регрессия'!$B$2+(B70-'Регрессия'!$B$3)^2/'Регрессия'!$B$5),'Взвешенная регрессия'!$B$124*(1/'Взвешенная регрессия'!$B$115+(B70-'Взвешенная регрессия'!$B$128)^2/'Взвешенная регрессия'!$B$118)))</f>
        <v/>
      </c>
      <c r="H70" s="6">
        <f>IF(G70="","",SQRT(G70))</f>
        <v/>
      </c>
      <c r="I70" s="6">
        <f>IF(B70="","",SQRT(IF('Ввод'!$B$6=1,'Регрессия'!$B$6,'Взвешенная регрессия'!$B$124)+G70))</f>
        <v/>
      </c>
      <c r="J70" s="6">
        <f>IF(B70="","",SQRT(N(D70)^2+I70^2+(B70*'Ввод'!$B$5)^2))</f>
        <v/>
      </c>
      <c r="K70" s="6">
        <f>IF(B70="","",SQRT(IF('Ввод'!$B$6=1,'Регрессия'!$B$6*(1/E70+1/'Регрессия'!$B$2+(B70-'Регрессия'!$B$3)^2/'Регрессия'!$B$5)+'Регрессия'!$B$10+(B70-'Регрессия'!$B$3)^2*'Регрессия'!$B$9+2*(B70-'Регрессия'!$B$3)*'Регрессия'!$B$11,'Взвешенная регрессия'!$B$124*(1/E70+1/COUNTIFS('Взвешенная регрессия'!$A$11:$A$110,"&gt;=0"))+(B70-'Взвешенная регрессия'!$B$128)^2*'Взвешенная регрессия'!$B$125+'Взвешенная регрессия'!$B$126+2*(B70-'Взвешенная регрессия'!$B$128)*'Взвешенная регрессия'!$B$127)/IF('Ввод'!$B$6=1,'Регрессия'!$B$7,'Взвешенная регрессия'!$B$120)^2+(B70*'Ввод'!$B$5)^2))</f>
        <v/>
      </c>
      <c r="L70" s="6">
        <f>IF(K70="","",2*K70)</f>
        <v/>
      </c>
    </row>
    <row r="71">
      <c r="A71" s="6">
        <f>IF('Ввод'!B75="","",ROW()-4)</f>
        <v/>
      </c>
      <c r="B71" s="6">
        <f>IF('Ввод'!B75="","",'Ввод'!B75)</f>
        <v/>
      </c>
      <c r="C71" s="6">
        <f>IF('Ввод'!J75="","",'Ввод'!J75)</f>
        <v/>
      </c>
      <c r="D71" s="6">
        <f>IF(C71="","",C71/SQRT(E71))</f>
        <v/>
      </c>
      <c r="E71" s="6">
        <f>IF(B71="","",COUNT('Ввод'!C75:E75))</f>
        <v/>
      </c>
      <c r="F71" s="6">
        <f>IF(B71="","",IF('Ввод'!$B$6=1,'Регрессия'!$B$7,'Взвешенная регрессия'!$B$120)*B71+IF('Ввод'!$B$6=1,'Регрессия'!$B$8,'Взвешенная регрессия'!$B$121))</f>
        <v/>
      </c>
      <c r="G71" s="6">
        <f>IF(B71="","",IF('Ввод'!$B$6=1,'Регрессия'!$B$6*(1/'Регрессия'!$B$2+(B71-'Регрессия'!$B$3)^2/'Регрессия'!$B$5),'Взвешенная регрессия'!$B$124*(1/'Взвешенная регрессия'!$B$115+(B71-'Взвешенная регрессия'!$B$128)^2/'Взвешенная регрессия'!$B$118)))</f>
        <v/>
      </c>
      <c r="H71" s="6">
        <f>IF(G71="","",SQRT(G71))</f>
        <v/>
      </c>
      <c r="I71" s="6">
        <f>IF(B71="","",SQRT(IF('Ввод'!$B$6=1,'Регрессия'!$B$6,'Взвешенная регрессия'!$B$124)+G71))</f>
        <v/>
      </c>
      <c r="J71" s="6">
        <f>IF(B71="","",SQRT(N(D71)^2+I71^2+(B71*'Ввод'!$B$5)^2))</f>
        <v/>
      </c>
      <c r="K71" s="6">
        <f>IF(B71="","",SQRT(IF('Ввод'!$B$6=1,'Регрессия'!$B$6*(1/E71+1/'Регрессия'!$B$2+(B71-'Регрессия'!$B$3)^2/'Регрессия'!$B$5)+'Регрессия'!$B$10+(B71-'Регрессия'!$B$3)^2*'Регрессия'!$B$9+2*(B71-'Регрессия'!$B$3)*'Регрессия'!$B$11,'Взвешенная регрессия'!$B$124*(1/E71+1/COUNTIFS('Взвешенная регрессия'!$A$11:$A$110,"&gt;=0"))+(B71-'Взвешенная регрессия'!$B$128)^2*'Взвешенная регрессия'!$B$125+'Взвешенная регрессия'!$B$126+2*(B71-'Взвешенная регрессия'!$B$128)*'Взвешенная регрессия'!$B$127)/IF('Ввод'!$B$6=1,'Регрессия'!$B$7,'Взвешенная регрессия'!$B$120)^2+(B71*'Ввод'!$B$5)^2))</f>
        <v/>
      </c>
      <c r="L71" s="6">
        <f>IF(K71="","",2*K71)</f>
        <v/>
      </c>
    </row>
    <row r="72">
      <c r="A72" s="6">
        <f>IF('Ввод'!B76="","",ROW()-4)</f>
        <v/>
      </c>
      <c r="B72" s="6">
        <f>IF('Ввод'!B76="","",'Ввод'!B76)</f>
        <v/>
      </c>
      <c r="C72" s="6">
        <f>IF('Ввод'!J76="","",'Ввод'!J76)</f>
        <v/>
      </c>
      <c r="D72" s="6">
        <f>IF(C72="","",C72/SQRT(E72))</f>
        <v/>
      </c>
      <c r="E72" s="6">
        <f>IF(B72="","",COUNT('Ввод'!C76:E76))</f>
        <v/>
      </c>
      <c r="F72" s="6">
        <f>IF(B72="","",IF('Ввод'!$B$6=1,'Регрессия'!$B$7,'Взвешенная регрессия'!$B$120)*B72+IF('Ввод'!$B$6=1,'Регрессия'!$B$8,'Взвешенная регрессия'!$B$121))</f>
        <v/>
      </c>
      <c r="G72" s="6">
        <f>IF(B72="","",IF('Ввод'!$B$6=1,'Регрессия'!$B$6*(1/'Регрессия'!$B$2+(B72-'Регрессия'!$B$3)^2/'Регрессия'!$B$5),'Взвешенная регрессия'!$B$124*(1/'Взвешенная регрессия'!$B$115+(B72-'Взвешенная регрессия'!$B$128)^2/'Взвешенная регрессия'!$B$118)))</f>
        <v/>
      </c>
      <c r="H72" s="6">
        <f>IF(G72="","",SQRT(G72))</f>
        <v/>
      </c>
      <c r="I72" s="6">
        <f>IF(B72="","",SQRT(IF('Ввод'!$B$6=1,'Регрессия'!$B$6,'Взвешенная регрессия'!$B$124)+G72))</f>
        <v/>
      </c>
      <c r="J72" s="6">
        <f>IF(B72="","",SQRT(N(D72)^2+I72^2+(B72*'Ввод'!$B$5)^2))</f>
        <v/>
      </c>
      <c r="K72" s="6">
        <f>IF(B72="","",SQRT(IF('Ввод'!$B$6=1,'Регрессия'!$B$6*(1/E72+1/'Регрессия'!$B$2+(B72-'Регрессия'!$B$3)^2/'Регрессия'!$B$5)+'Регрессия'!$B$10+(B72-'Регрессия'!$B$3)^2*'Регрессия'!$B$9+2*(B72-'Регрессия'!$B$3)*'Регрессия'!$B$11,'Взвешенная регрессия'!$B$124*(1/E72+1/COUNTIFS('Взвешенная регрессия'!$A$11:$A$110,"&gt;=0"))+(B72-'Взвешенная регрессия'!$B$128)^2*'Взвешенная регрессия'!$B$125+'Взвешенная регрессия'!$B$126+2*(B72-'Взвешенная регрессия'!$B$128)*'Взвешенная регрессия'!$B$127)/IF('Ввод'!$B$6=1,'Регрессия'!$B$7,'Взвешенная регрессия'!$B$120)^2+(B72*'Ввод'!$B$5)^2))</f>
        <v/>
      </c>
      <c r="L72" s="6">
        <f>IF(K72="","",2*K72)</f>
        <v/>
      </c>
    </row>
    <row r="73">
      <c r="A73" s="6">
        <f>IF('Ввод'!B77="","",ROW()-4)</f>
        <v/>
      </c>
      <c r="B73" s="6">
        <f>IF('Ввод'!B77="","",'Ввод'!B77)</f>
        <v/>
      </c>
      <c r="C73" s="6">
        <f>IF('Ввод'!J77="","",'Ввод'!J77)</f>
        <v/>
      </c>
      <c r="D73" s="6">
        <f>IF(C73="","",C73/SQRT(E73))</f>
        <v/>
      </c>
      <c r="E73" s="6">
        <f>IF(B73="","",COUNT('Ввод'!C77:E77))</f>
        <v/>
      </c>
      <c r="F73" s="6">
        <f>IF(B73="","",IF('Ввод'!$B$6=1,'Регрессия'!$B$7,'Взвешенная регрессия'!$B$120)*B73+IF('Ввод'!$B$6=1,'Регрессия'!$B$8,'Взвешенная регрессия'!$B$121))</f>
        <v/>
      </c>
      <c r="G73" s="6">
        <f>IF(B73="","",IF('Ввод'!$B$6=1,'Регрессия'!$B$6*(1/'Регрессия'!$B$2+(B73-'Регрессия'!$B$3)^2/'Регрессия'!$B$5),'Взвешенная регрессия'!$B$124*(1/'Взвешенная регрессия'!$B$115+(B73-'Взвешенная регрессия'!$B$128)^2/'Взвешенная регрессия'!$B$118)))</f>
        <v/>
      </c>
      <c r="H73" s="6">
        <f>IF(G73="","",SQRT(G73))</f>
        <v/>
      </c>
      <c r="I73" s="6">
        <f>IF(B73="","",SQRT(IF('Ввод'!$B$6=1,'Регрессия'!$B$6,'Взвешенная регрессия'!$B$124)+G73))</f>
        <v/>
      </c>
      <c r="J73" s="6">
        <f>IF(B73="","",SQRT(N(D73)^2+I73^2+(B73*'Ввод'!$B$5)^2))</f>
        <v/>
      </c>
      <c r="K73" s="6">
        <f>IF(B73="","",SQRT(IF('Ввод'!$B$6=1,'Регрессия'!$B$6*(1/E73+1/'Регрессия'!$B$2+(B73-'Регрессия'!$B$3)^2/'Регрессия'!$B$5)+'Регрессия'!$B$10+(B73-'Регрессия'!$B$3)^2*'Регрессия'!$B$9+2*(B73-'Регрессия'!$B$3)*'Регрессия'!$B$11,'Взвешенная регрессия'!$B$124*(1/E73+1/COUNTIFS('Взвешенная регрессия'!$A$11:$A$110,"&gt;=0"))+(B73-'Взвешенная регрессия'!$B$128)^2*'Взвешенная регрессия'!$B$125+'Взвешенная регрессия'!$B$126+2*(B73-'Взвешенная регрессия'!$B$128)*'Взвешенная регрессия'!$B$127)/IF('Ввод'!$B$6=1,'Регрессия'!$B$7,'Взвешенная регрессия'!$B$120)^2+(B73*'Ввод'!$B$5)^2))</f>
        <v/>
      </c>
      <c r="L73" s="6">
        <f>IF(K73="","",2*K73)</f>
        <v/>
      </c>
    </row>
    <row r="74">
      <c r="A74" s="6">
        <f>IF('Ввод'!B78="","",ROW()-4)</f>
        <v/>
      </c>
      <c r="B74" s="6">
        <f>IF('Ввод'!B78="","",'Ввод'!B78)</f>
        <v/>
      </c>
      <c r="C74" s="6">
        <f>IF('Ввод'!J78="","",'Ввод'!J78)</f>
        <v/>
      </c>
      <c r="D74" s="6">
        <f>IF(C74="","",C74/SQRT(E74))</f>
        <v/>
      </c>
      <c r="E74" s="6">
        <f>IF(B74="","",COUNT('Ввод'!C78:E78))</f>
        <v/>
      </c>
      <c r="F74" s="6">
        <f>IF(B74="","",IF('Ввод'!$B$6=1,'Регрессия'!$B$7,'Взвешенная регрессия'!$B$120)*B74+IF('Ввод'!$B$6=1,'Регрессия'!$B$8,'Взвешенная регрессия'!$B$121))</f>
        <v/>
      </c>
      <c r="G74" s="6">
        <f>IF(B74="","",IF('Ввод'!$B$6=1,'Регрессия'!$B$6*(1/'Регрессия'!$B$2+(B74-'Регрессия'!$B$3)^2/'Регрессия'!$B$5),'Взвешенная регрессия'!$B$124*(1/'Взвешенная регрессия'!$B$115+(B74-'Взвешенная регрессия'!$B$128)^2/'Взвешенная регрессия'!$B$118)))</f>
        <v/>
      </c>
      <c r="H74" s="6">
        <f>IF(G74="","",SQRT(G74))</f>
        <v/>
      </c>
      <c r="I74" s="6">
        <f>IF(B74="","",SQRT(IF('Ввод'!$B$6=1,'Регрессия'!$B$6,'Взвешенная регрессия'!$B$124)+G74))</f>
        <v/>
      </c>
      <c r="J74" s="6">
        <f>IF(B74="","",SQRT(N(D74)^2+I74^2+(B74*'Ввод'!$B$5)^2))</f>
        <v/>
      </c>
      <c r="K74" s="6">
        <f>IF(B74="","",SQRT(IF('Ввод'!$B$6=1,'Регрессия'!$B$6*(1/E74+1/'Регрессия'!$B$2+(B74-'Регрессия'!$B$3)^2/'Регрессия'!$B$5)+'Регрессия'!$B$10+(B74-'Регрессия'!$B$3)^2*'Регрессия'!$B$9+2*(B74-'Регрессия'!$B$3)*'Регрессия'!$B$11,'Взвешенная регрессия'!$B$124*(1/E74+1/COUNTIFS('Взвешенная регрессия'!$A$11:$A$110,"&gt;=0"))+(B74-'Взвешенная регрессия'!$B$128)^2*'Взвешенная регрессия'!$B$125+'Взвешенная регрессия'!$B$126+2*(B74-'Взвешенная регрессия'!$B$128)*'Взвешенная регрессия'!$B$127)/IF('Ввод'!$B$6=1,'Регрессия'!$B$7,'Взвешенная регрессия'!$B$120)^2+(B74*'Ввод'!$B$5)^2))</f>
        <v/>
      </c>
      <c r="L74" s="6">
        <f>IF(K74="","",2*K74)</f>
        <v/>
      </c>
    </row>
    <row r="75">
      <c r="A75" s="6">
        <f>IF('Ввод'!B79="","",ROW()-4)</f>
        <v/>
      </c>
      <c r="B75" s="6">
        <f>IF('Ввод'!B79="","",'Ввод'!B79)</f>
        <v/>
      </c>
      <c r="C75" s="6">
        <f>IF('Ввод'!J79="","",'Ввод'!J79)</f>
        <v/>
      </c>
      <c r="D75" s="6">
        <f>IF(C75="","",C75/SQRT(E75))</f>
        <v/>
      </c>
      <c r="E75" s="6">
        <f>IF(B75="","",COUNT('Ввод'!C79:E79))</f>
        <v/>
      </c>
      <c r="F75" s="6">
        <f>IF(B75="","",IF('Ввод'!$B$6=1,'Регрессия'!$B$7,'Взвешенная регрессия'!$B$120)*B75+IF('Ввод'!$B$6=1,'Регрессия'!$B$8,'Взвешенная регрессия'!$B$121))</f>
        <v/>
      </c>
      <c r="G75" s="6">
        <f>IF(B75="","",IF('Ввод'!$B$6=1,'Регрессия'!$B$6*(1/'Регрессия'!$B$2+(B75-'Регрессия'!$B$3)^2/'Регрессия'!$B$5),'Взвешенная регрессия'!$B$124*(1/'Взвешенная регрессия'!$B$115+(B75-'Взвешенная регрессия'!$B$128)^2/'Взвешенная регрессия'!$B$118)))</f>
        <v/>
      </c>
      <c r="H75" s="6">
        <f>IF(G75="","",SQRT(G75))</f>
        <v/>
      </c>
      <c r="I75" s="6">
        <f>IF(B75="","",SQRT(IF('Ввод'!$B$6=1,'Регрессия'!$B$6,'Взвешенная регрессия'!$B$124)+G75))</f>
        <v/>
      </c>
      <c r="J75" s="6">
        <f>IF(B75="","",SQRT(N(D75)^2+I75^2+(B75*'Ввод'!$B$5)^2))</f>
        <v/>
      </c>
      <c r="K75" s="6">
        <f>IF(B75="","",SQRT(IF('Ввод'!$B$6=1,'Регрессия'!$B$6*(1/E75+1/'Регрессия'!$B$2+(B75-'Регрессия'!$B$3)^2/'Регрессия'!$B$5)+'Регрессия'!$B$10+(B75-'Регрессия'!$B$3)^2*'Регрессия'!$B$9+2*(B75-'Регрессия'!$B$3)*'Регрессия'!$B$11,'Взвешенная регрессия'!$B$124*(1/E75+1/COUNTIFS('Взвешенная регрессия'!$A$11:$A$110,"&gt;=0"))+(B75-'Взвешенная регрессия'!$B$128)^2*'Взвешенная регрессия'!$B$125+'Взвешенная регрессия'!$B$126+2*(B75-'Взвешенная регрессия'!$B$128)*'Взвешенная регрессия'!$B$127)/IF('Ввод'!$B$6=1,'Регрессия'!$B$7,'Взвешенная регрессия'!$B$120)^2+(B75*'Ввод'!$B$5)^2))</f>
        <v/>
      </c>
      <c r="L75" s="6">
        <f>IF(K75="","",2*K75)</f>
        <v/>
      </c>
    </row>
    <row r="76">
      <c r="A76" s="6">
        <f>IF('Ввод'!B80="","",ROW()-4)</f>
        <v/>
      </c>
      <c r="B76" s="6">
        <f>IF('Ввод'!B80="","",'Ввод'!B80)</f>
        <v/>
      </c>
      <c r="C76" s="6">
        <f>IF('Ввод'!J80="","",'Ввод'!J80)</f>
        <v/>
      </c>
      <c r="D76" s="6">
        <f>IF(C76="","",C76/SQRT(E76))</f>
        <v/>
      </c>
      <c r="E76" s="6">
        <f>IF(B76="","",COUNT('Ввод'!C80:E80))</f>
        <v/>
      </c>
      <c r="F76" s="6">
        <f>IF(B76="","",IF('Ввод'!$B$6=1,'Регрессия'!$B$7,'Взвешенная регрессия'!$B$120)*B76+IF('Ввод'!$B$6=1,'Регрессия'!$B$8,'Взвешенная регрессия'!$B$121))</f>
        <v/>
      </c>
      <c r="G76" s="6">
        <f>IF(B76="","",IF('Ввод'!$B$6=1,'Регрессия'!$B$6*(1/'Регрессия'!$B$2+(B76-'Регрессия'!$B$3)^2/'Регрессия'!$B$5),'Взвешенная регрессия'!$B$124*(1/'Взвешенная регрессия'!$B$115+(B76-'Взвешенная регрессия'!$B$128)^2/'Взвешенная регрессия'!$B$118)))</f>
        <v/>
      </c>
      <c r="H76" s="6">
        <f>IF(G76="","",SQRT(G76))</f>
        <v/>
      </c>
      <c r="I76" s="6">
        <f>IF(B76="","",SQRT(IF('Ввод'!$B$6=1,'Регрессия'!$B$6,'Взвешенная регрессия'!$B$124)+G76))</f>
        <v/>
      </c>
      <c r="J76" s="6">
        <f>IF(B76="","",SQRT(N(D76)^2+I76^2+(B76*'Ввод'!$B$5)^2))</f>
        <v/>
      </c>
      <c r="K76" s="6">
        <f>IF(B76="","",SQRT(IF('Ввод'!$B$6=1,'Регрессия'!$B$6*(1/E76+1/'Регрессия'!$B$2+(B76-'Регрессия'!$B$3)^2/'Регрессия'!$B$5)+'Регрессия'!$B$10+(B76-'Регрессия'!$B$3)^2*'Регрессия'!$B$9+2*(B76-'Регрессия'!$B$3)*'Регрессия'!$B$11,'Взвешенная регрессия'!$B$124*(1/E76+1/COUNTIFS('Взвешенная регрессия'!$A$11:$A$110,"&gt;=0"))+(B76-'Взвешенная регрессия'!$B$128)^2*'Взвешенная регрессия'!$B$125+'Взвешенная регрессия'!$B$126+2*(B76-'Взвешенная регрессия'!$B$128)*'Взвешенная регрессия'!$B$127)/IF('Ввод'!$B$6=1,'Регрессия'!$B$7,'Взвешенная регрессия'!$B$120)^2+(B76*'Ввод'!$B$5)^2))</f>
        <v/>
      </c>
      <c r="L76" s="6">
        <f>IF(K76="","",2*K76)</f>
        <v/>
      </c>
    </row>
    <row r="77">
      <c r="A77" s="6">
        <f>IF('Ввод'!B81="","",ROW()-4)</f>
        <v/>
      </c>
      <c r="B77" s="6">
        <f>IF('Ввод'!B81="","",'Ввод'!B81)</f>
        <v/>
      </c>
      <c r="C77" s="6">
        <f>IF('Ввод'!J81="","",'Ввод'!J81)</f>
        <v/>
      </c>
      <c r="D77" s="6">
        <f>IF(C77="","",C77/SQRT(E77))</f>
        <v/>
      </c>
      <c r="E77" s="6">
        <f>IF(B77="","",COUNT('Ввод'!C81:E81))</f>
        <v/>
      </c>
      <c r="F77" s="6">
        <f>IF(B77="","",IF('Ввод'!$B$6=1,'Регрессия'!$B$7,'Взвешенная регрессия'!$B$120)*B77+IF('Ввод'!$B$6=1,'Регрессия'!$B$8,'Взвешенная регрессия'!$B$121))</f>
        <v/>
      </c>
      <c r="G77" s="6">
        <f>IF(B77="","",IF('Ввод'!$B$6=1,'Регрессия'!$B$6*(1/'Регрессия'!$B$2+(B77-'Регрессия'!$B$3)^2/'Регрессия'!$B$5),'Взвешенная регрессия'!$B$124*(1/'Взвешенная регрессия'!$B$115+(B77-'Взвешенная регрессия'!$B$128)^2/'Взвешенная регрессия'!$B$118)))</f>
        <v/>
      </c>
      <c r="H77" s="6">
        <f>IF(G77="","",SQRT(G77))</f>
        <v/>
      </c>
      <c r="I77" s="6">
        <f>IF(B77="","",SQRT(IF('Ввод'!$B$6=1,'Регрессия'!$B$6,'Взвешенная регрессия'!$B$124)+G77))</f>
        <v/>
      </c>
      <c r="J77" s="6">
        <f>IF(B77="","",SQRT(N(D77)^2+I77^2+(B77*'Ввод'!$B$5)^2))</f>
        <v/>
      </c>
      <c r="K77" s="6">
        <f>IF(B77="","",SQRT(IF('Ввод'!$B$6=1,'Регрессия'!$B$6*(1/E77+1/'Регрессия'!$B$2+(B77-'Регрессия'!$B$3)^2/'Регрессия'!$B$5)+'Регрессия'!$B$10+(B77-'Регрессия'!$B$3)^2*'Регрессия'!$B$9+2*(B77-'Регрессия'!$B$3)*'Регрессия'!$B$11,'Взвешенная регрессия'!$B$124*(1/E77+1/COUNTIFS('Взвешенная регрессия'!$A$11:$A$110,"&gt;=0"))+(B77-'Взвешенная регрессия'!$B$128)^2*'Взвешенная регрессия'!$B$125+'Взвешенная регрессия'!$B$126+2*(B77-'Взвешенная регрессия'!$B$128)*'Взвешенная регрессия'!$B$127)/IF('Ввод'!$B$6=1,'Регрессия'!$B$7,'Взвешенная регрессия'!$B$120)^2+(B77*'Ввод'!$B$5)^2))</f>
        <v/>
      </c>
      <c r="L77" s="6">
        <f>IF(K77="","",2*K77)</f>
        <v/>
      </c>
    </row>
    <row r="78">
      <c r="A78" s="6">
        <f>IF('Ввод'!B82="","",ROW()-4)</f>
        <v/>
      </c>
      <c r="B78" s="6">
        <f>IF('Ввод'!B82="","",'Ввод'!B82)</f>
        <v/>
      </c>
      <c r="C78" s="6">
        <f>IF('Ввод'!J82="","",'Ввод'!J82)</f>
        <v/>
      </c>
      <c r="D78" s="6">
        <f>IF(C78="","",C78/SQRT(E78))</f>
        <v/>
      </c>
      <c r="E78" s="6">
        <f>IF(B78="","",COUNT('Ввод'!C82:E82))</f>
        <v/>
      </c>
      <c r="F78" s="6">
        <f>IF(B78="","",IF('Ввод'!$B$6=1,'Регрессия'!$B$7,'Взвешенная регрессия'!$B$120)*B78+IF('Ввод'!$B$6=1,'Регрессия'!$B$8,'Взвешенная регрессия'!$B$121))</f>
        <v/>
      </c>
      <c r="G78" s="6">
        <f>IF(B78="","",IF('Ввод'!$B$6=1,'Регрессия'!$B$6*(1/'Регрессия'!$B$2+(B78-'Регрессия'!$B$3)^2/'Регрессия'!$B$5),'Взвешенная регрессия'!$B$124*(1/'Взвешенная регрессия'!$B$115+(B78-'Взвешенная регрессия'!$B$128)^2/'Взвешенная регрессия'!$B$118)))</f>
        <v/>
      </c>
      <c r="H78" s="6">
        <f>IF(G78="","",SQRT(G78))</f>
        <v/>
      </c>
      <c r="I78" s="6">
        <f>IF(B78="","",SQRT(IF('Ввод'!$B$6=1,'Регрессия'!$B$6,'Взвешенная регрессия'!$B$124)+G78))</f>
        <v/>
      </c>
      <c r="J78" s="6">
        <f>IF(B78="","",SQRT(N(D78)^2+I78^2+(B78*'Ввод'!$B$5)^2))</f>
        <v/>
      </c>
      <c r="K78" s="6">
        <f>IF(B78="","",SQRT(IF('Ввод'!$B$6=1,'Регрессия'!$B$6*(1/E78+1/'Регрессия'!$B$2+(B78-'Регрессия'!$B$3)^2/'Регрессия'!$B$5)+'Регрессия'!$B$10+(B78-'Регрессия'!$B$3)^2*'Регрессия'!$B$9+2*(B78-'Регрессия'!$B$3)*'Регрессия'!$B$11,'Взвешенная регрессия'!$B$124*(1/E78+1/COUNTIFS('Взвешенная регрессия'!$A$11:$A$110,"&gt;=0"))+(B78-'Взвешенная регрессия'!$B$128)^2*'Взвешенная регрессия'!$B$125+'Взвешенная регрессия'!$B$126+2*(B78-'Взвешенная регрессия'!$B$128)*'Взвешенная регрессия'!$B$127)/IF('Ввод'!$B$6=1,'Регрессия'!$B$7,'Взвешенная регрессия'!$B$120)^2+(B78*'Ввод'!$B$5)^2))</f>
        <v/>
      </c>
      <c r="L78" s="6">
        <f>IF(K78="","",2*K78)</f>
        <v/>
      </c>
    </row>
    <row r="79">
      <c r="A79" s="6">
        <f>IF('Ввод'!B83="","",ROW()-4)</f>
        <v/>
      </c>
      <c r="B79" s="6">
        <f>IF('Ввод'!B83="","",'Ввод'!B83)</f>
        <v/>
      </c>
      <c r="C79" s="6">
        <f>IF('Ввод'!J83="","",'Ввод'!J83)</f>
        <v/>
      </c>
      <c r="D79" s="6">
        <f>IF(C79="","",C79/SQRT(E79))</f>
        <v/>
      </c>
      <c r="E79" s="6">
        <f>IF(B79="","",COUNT('Ввод'!C83:E83))</f>
        <v/>
      </c>
      <c r="F79" s="6">
        <f>IF(B79="","",IF('Ввод'!$B$6=1,'Регрессия'!$B$7,'Взвешенная регрессия'!$B$120)*B79+IF('Ввод'!$B$6=1,'Регрессия'!$B$8,'Взвешенная регрессия'!$B$121))</f>
        <v/>
      </c>
      <c r="G79" s="6">
        <f>IF(B79="","",IF('Ввод'!$B$6=1,'Регрессия'!$B$6*(1/'Регрессия'!$B$2+(B79-'Регрессия'!$B$3)^2/'Регрессия'!$B$5),'Взвешенная регрессия'!$B$124*(1/'Взвешенная регрессия'!$B$115+(B79-'Взвешенная регрессия'!$B$128)^2/'Взвешенная регрессия'!$B$118)))</f>
        <v/>
      </c>
      <c r="H79" s="6">
        <f>IF(G79="","",SQRT(G79))</f>
        <v/>
      </c>
      <c r="I79" s="6">
        <f>IF(B79="","",SQRT(IF('Ввод'!$B$6=1,'Регрессия'!$B$6,'Взвешенная регрессия'!$B$124)+G79))</f>
        <v/>
      </c>
      <c r="J79" s="6">
        <f>IF(B79="","",SQRT(N(D79)^2+I79^2+(B79*'Ввод'!$B$5)^2))</f>
        <v/>
      </c>
      <c r="K79" s="6">
        <f>IF(B79="","",SQRT(IF('Ввод'!$B$6=1,'Регрессия'!$B$6*(1/E79+1/'Регрессия'!$B$2+(B79-'Регрессия'!$B$3)^2/'Регрессия'!$B$5)+'Регрессия'!$B$10+(B79-'Регрессия'!$B$3)^2*'Регрессия'!$B$9+2*(B79-'Регрессия'!$B$3)*'Регрессия'!$B$11,'Взвешенная регрессия'!$B$124*(1/E79+1/COUNTIFS('Взвешенная регрессия'!$A$11:$A$110,"&gt;=0"))+(B79-'Взвешенная регрессия'!$B$128)^2*'Взвешенная регрессия'!$B$125+'Взвешенная регрессия'!$B$126+2*(B79-'Взвешенная регрессия'!$B$128)*'Взвешенная регрессия'!$B$127)/IF('Ввод'!$B$6=1,'Регрессия'!$B$7,'Взвешенная регрессия'!$B$120)^2+(B79*'Ввод'!$B$5)^2))</f>
        <v/>
      </c>
      <c r="L79" s="6">
        <f>IF(K79="","",2*K79)</f>
        <v/>
      </c>
    </row>
    <row r="80">
      <c r="A80" s="6">
        <f>IF('Ввод'!B84="","",ROW()-4)</f>
        <v/>
      </c>
      <c r="B80" s="6">
        <f>IF('Ввод'!B84="","",'Ввод'!B84)</f>
        <v/>
      </c>
      <c r="C80" s="6">
        <f>IF('Ввод'!J84="","",'Ввод'!J84)</f>
        <v/>
      </c>
      <c r="D80" s="6">
        <f>IF(C80="","",C80/SQRT(E80))</f>
        <v/>
      </c>
      <c r="E80" s="6">
        <f>IF(B80="","",COUNT('Ввод'!C84:E84))</f>
        <v/>
      </c>
      <c r="F80" s="6">
        <f>IF(B80="","",IF('Ввод'!$B$6=1,'Регрессия'!$B$7,'Взвешенная регрессия'!$B$120)*B80+IF('Ввод'!$B$6=1,'Регрессия'!$B$8,'Взвешенная регрессия'!$B$121))</f>
        <v/>
      </c>
      <c r="G80" s="6">
        <f>IF(B80="","",IF('Ввод'!$B$6=1,'Регрессия'!$B$6*(1/'Регрессия'!$B$2+(B80-'Регрессия'!$B$3)^2/'Регрессия'!$B$5),'Взвешенная регрессия'!$B$124*(1/'Взвешенная регрессия'!$B$115+(B80-'Взвешенная регрессия'!$B$128)^2/'Взвешенная регрессия'!$B$118)))</f>
        <v/>
      </c>
      <c r="H80" s="6">
        <f>IF(G80="","",SQRT(G80))</f>
        <v/>
      </c>
      <c r="I80" s="6">
        <f>IF(B80="","",SQRT(IF('Ввод'!$B$6=1,'Регрессия'!$B$6,'Взвешенная регрессия'!$B$124)+G80))</f>
        <v/>
      </c>
      <c r="J80" s="6">
        <f>IF(B80="","",SQRT(N(D80)^2+I80^2+(B80*'Ввод'!$B$5)^2))</f>
        <v/>
      </c>
      <c r="K80" s="6">
        <f>IF(B80="","",SQRT(IF('Ввод'!$B$6=1,'Регрессия'!$B$6*(1/E80+1/'Регрессия'!$B$2+(B80-'Регрессия'!$B$3)^2/'Регрессия'!$B$5)+'Регрессия'!$B$10+(B80-'Регрессия'!$B$3)^2*'Регрессия'!$B$9+2*(B80-'Регрессия'!$B$3)*'Регрессия'!$B$11,'Взвешенная регрессия'!$B$124*(1/E80+1/COUNTIFS('Взвешенная регрессия'!$A$11:$A$110,"&gt;=0"))+(B80-'Взвешенная регрессия'!$B$128)^2*'Взвешенная регрессия'!$B$125+'Взвешенная регрессия'!$B$126+2*(B80-'Взвешенная регрессия'!$B$128)*'Взвешенная регрессия'!$B$127)/IF('Ввод'!$B$6=1,'Регрессия'!$B$7,'Взвешенная регрессия'!$B$120)^2+(B80*'Ввод'!$B$5)^2))</f>
        <v/>
      </c>
      <c r="L80" s="6">
        <f>IF(K80="","",2*K80)</f>
        <v/>
      </c>
    </row>
    <row r="81">
      <c r="A81" s="6">
        <f>IF('Ввод'!B85="","",ROW()-4)</f>
        <v/>
      </c>
      <c r="B81" s="6">
        <f>IF('Ввод'!B85="","",'Ввод'!B85)</f>
        <v/>
      </c>
      <c r="C81" s="6">
        <f>IF('Ввод'!J85="","",'Ввод'!J85)</f>
        <v/>
      </c>
      <c r="D81" s="6">
        <f>IF(C81="","",C81/SQRT(E81))</f>
        <v/>
      </c>
      <c r="E81" s="6">
        <f>IF(B81="","",COUNT('Ввод'!C85:E85))</f>
        <v/>
      </c>
      <c r="F81" s="6">
        <f>IF(B81="","",IF('Ввод'!$B$6=1,'Регрессия'!$B$7,'Взвешенная регрессия'!$B$120)*B81+IF('Ввод'!$B$6=1,'Регрессия'!$B$8,'Взвешенная регрессия'!$B$121))</f>
        <v/>
      </c>
      <c r="G81" s="6">
        <f>IF(B81="","",IF('Ввод'!$B$6=1,'Регрессия'!$B$6*(1/'Регрессия'!$B$2+(B81-'Регрессия'!$B$3)^2/'Регрессия'!$B$5),'Взвешенная регрессия'!$B$124*(1/'Взвешенная регрессия'!$B$115+(B81-'Взвешенная регрессия'!$B$128)^2/'Взвешенная регрессия'!$B$118)))</f>
        <v/>
      </c>
      <c r="H81" s="6">
        <f>IF(G81="","",SQRT(G81))</f>
        <v/>
      </c>
      <c r="I81" s="6">
        <f>IF(B81="","",SQRT(IF('Ввод'!$B$6=1,'Регрессия'!$B$6,'Взвешенная регрессия'!$B$124)+G81))</f>
        <v/>
      </c>
      <c r="J81" s="6">
        <f>IF(B81="","",SQRT(N(D81)^2+I81^2+(B81*'Ввод'!$B$5)^2))</f>
        <v/>
      </c>
      <c r="K81" s="6">
        <f>IF(B81="","",SQRT(IF('Ввод'!$B$6=1,'Регрессия'!$B$6*(1/E81+1/'Регрессия'!$B$2+(B81-'Регрессия'!$B$3)^2/'Регрессия'!$B$5)+'Регрессия'!$B$10+(B81-'Регрессия'!$B$3)^2*'Регрессия'!$B$9+2*(B81-'Регрессия'!$B$3)*'Регрессия'!$B$11,'Взвешенная регрессия'!$B$124*(1/E81+1/COUNTIFS('Взвешенная регрессия'!$A$11:$A$110,"&gt;=0"))+(B81-'Взвешенная регрессия'!$B$128)^2*'Взвешенная регрессия'!$B$125+'Взвешенная регрессия'!$B$126+2*(B81-'Взвешенная регрессия'!$B$128)*'Взвешенная регрессия'!$B$127)/IF('Ввод'!$B$6=1,'Регрессия'!$B$7,'Взвешенная регрессия'!$B$120)^2+(B81*'Ввод'!$B$5)^2))</f>
        <v/>
      </c>
      <c r="L81" s="6">
        <f>IF(K81="","",2*K81)</f>
        <v/>
      </c>
    </row>
    <row r="82">
      <c r="A82" s="6">
        <f>IF('Ввод'!B86="","",ROW()-4)</f>
        <v/>
      </c>
      <c r="B82" s="6">
        <f>IF('Ввод'!B86="","",'Ввод'!B86)</f>
        <v/>
      </c>
      <c r="C82" s="6">
        <f>IF('Ввод'!J86="","",'Ввод'!J86)</f>
        <v/>
      </c>
      <c r="D82" s="6">
        <f>IF(C82="","",C82/SQRT(E82))</f>
        <v/>
      </c>
      <c r="E82" s="6">
        <f>IF(B82="","",COUNT('Ввод'!C86:E86))</f>
        <v/>
      </c>
      <c r="F82" s="6">
        <f>IF(B82="","",IF('Ввод'!$B$6=1,'Регрессия'!$B$7,'Взвешенная регрессия'!$B$120)*B82+IF('Ввод'!$B$6=1,'Регрессия'!$B$8,'Взвешенная регрессия'!$B$121))</f>
        <v/>
      </c>
      <c r="G82" s="6">
        <f>IF(B82="","",IF('Ввод'!$B$6=1,'Регрессия'!$B$6*(1/'Регрессия'!$B$2+(B82-'Регрессия'!$B$3)^2/'Регрессия'!$B$5),'Взвешенная регрессия'!$B$124*(1/'Взвешенная регрессия'!$B$115+(B82-'Взвешенная регрессия'!$B$128)^2/'Взвешенная регрессия'!$B$118)))</f>
        <v/>
      </c>
      <c r="H82" s="6">
        <f>IF(G82="","",SQRT(G82))</f>
        <v/>
      </c>
      <c r="I82" s="6">
        <f>IF(B82="","",SQRT(IF('Ввод'!$B$6=1,'Регрессия'!$B$6,'Взвешенная регрессия'!$B$124)+G82))</f>
        <v/>
      </c>
      <c r="J82" s="6">
        <f>IF(B82="","",SQRT(N(D82)^2+I82^2+(B82*'Ввод'!$B$5)^2))</f>
        <v/>
      </c>
      <c r="K82" s="6">
        <f>IF(B82="","",SQRT(IF('Ввод'!$B$6=1,'Регрессия'!$B$6*(1/E82+1/'Регрессия'!$B$2+(B82-'Регрессия'!$B$3)^2/'Регрессия'!$B$5)+'Регрессия'!$B$10+(B82-'Регрессия'!$B$3)^2*'Регрессия'!$B$9+2*(B82-'Регрессия'!$B$3)*'Регрессия'!$B$11,'Взвешенная регрессия'!$B$124*(1/E82+1/COUNTIFS('Взвешенная регрессия'!$A$11:$A$110,"&gt;=0"))+(B82-'Взвешенная регрессия'!$B$128)^2*'Взвешенная регрессия'!$B$125+'Взвешенная регрессия'!$B$126+2*(B82-'Взвешенная регрессия'!$B$128)*'Взвешенная регрессия'!$B$127)/IF('Ввод'!$B$6=1,'Регрессия'!$B$7,'Взвешенная регрессия'!$B$120)^2+(B82*'Ввод'!$B$5)^2))</f>
        <v/>
      </c>
      <c r="L82" s="6">
        <f>IF(K82="","",2*K82)</f>
        <v/>
      </c>
    </row>
    <row r="83">
      <c r="A83" s="6">
        <f>IF('Ввод'!B87="","",ROW()-4)</f>
        <v/>
      </c>
      <c r="B83" s="6">
        <f>IF('Ввод'!B87="","",'Ввод'!B87)</f>
        <v/>
      </c>
      <c r="C83" s="6">
        <f>IF('Ввод'!J87="","",'Ввод'!J87)</f>
        <v/>
      </c>
      <c r="D83" s="6">
        <f>IF(C83="","",C83/SQRT(E83))</f>
        <v/>
      </c>
      <c r="E83" s="6">
        <f>IF(B83="","",COUNT('Ввод'!C87:E87))</f>
        <v/>
      </c>
      <c r="F83" s="6">
        <f>IF(B83="","",IF('Ввод'!$B$6=1,'Регрессия'!$B$7,'Взвешенная регрессия'!$B$120)*B83+IF('Ввод'!$B$6=1,'Регрессия'!$B$8,'Взвешенная регрессия'!$B$121))</f>
        <v/>
      </c>
      <c r="G83" s="6">
        <f>IF(B83="","",IF('Ввод'!$B$6=1,'Регрессия'!$B$6*(1/'Регрессия'!$B$2+(B83-'Регрессия'!$B$3)^2/'Регрессия'!$B$5),'Взвешенная регрессия'!$B$124*(1/'Взвешенная регрессия'!$B$115+(B83-'Взвешенная регрессия'!$B$128)^2/'Взвешенная регрессия'!$B$118)))</f>
        <v/>
      </c>
      <c r="H83" s="6">
        <f>IF(G83="","",SQRT(G83))</f>
        <v/>
      </c>
      <c r="I83" s="6">
        <f>IF(B83="","",SQRT(IF('Ввод'!$B$6=1,'Регрессия'!$B$6,'Взвешенная регрессия'!$B$124)+G83))</f>
        <v/>
      </c>
      <c r="J83" s="6">
        <f>IF(B83="","",SQRT(N(D83)^2+I83^2+(B83*'Ввод'!$B$5)^2))</f>
        <v/>
      </c>
      <c r="K83" s="6">
        <f>IF(B83="","",SQRT(IF('Ввод'!$B$6=1,'Регрессия'!$B$6*(1/E83+1/'Регрессия'!$B$2+(B83-'Регрессия'!$B$3)^2/'Регрессия'!$B$5)+'Регрессия'!$B$10+(B83-'Регрессия'!$B$3)^2*'Регрессия'!$B$9+2*(B83-'Регрессия'!$B$3)*'Регрессия'!$B$11,'Взвешенная регрессия'!$B$124*(1/E83+1/COUNTIFS('Взвешенная регрессия'!$A$11:$A$110,"&gt;=0"))+(B83-'Взвешенная регрессия'!$B$128)^2*'Взвешенная регрессия'!$B$125+'Взвешенная регрессия'!$B$126+2*(B83-'Взвешенная регрессия'!$B$128)*'Взвешенная регрессия'!$B$127)/IF('Ввод'!$B$6=1,'Регрессия'!$B$7,'Взвешенная регрессия'!$B$120)^2+(B83*'Ввод'!$B$5)^2))</f>
        <v/>
      </c>
      <c r="L83" s="6">
        <f>IF(K83="","",2*K83)</f>
        <v/>
      </c>
    </row>
    <row r="84">
      <c r="A84" s="6">
        <f>IF('Ввод'!B88="","",ROW()-4)</f>
        <v/>
      </c>
      <c r="B84" s="6">
        <f>IF('Ввод'!B88="","",'Ввод'!B88)</f>
        <v/>
      </c>
      <c r="C84" s="6">
        <f>IF('Ввод'!J88="","",'Ввод'!J88)</f>
        <v/>
      </c>
      <c r="D84" s="6">
        <f>IF(C84="","",C84/SQRT(E84))</f>
        <v/>
      </c>
      <c r="E84" s="6">
        <f>IF(B84="","",COUNT('Ввод'!C88:E88))</f>
        <v/>
      </c>
      <c r="F84" s="6">
        <f>IF(B84="","",IF('Ввод'!$B$6=1,'Регрессия'!$B$7,'Взвешенная регрессия'!$B$120)*B84+IF('Ввод'!$B$6=1,'Регрессия'!$B$8,'Взвешенная регрессия'!$B$121))</f>
        <v/>
      </c>
      <c r="G84" s="6">
        <f>IF(B84="","",IF('Ввод'!$B$6=1,'Регрессия'!$B$6*(1/'Регрессия'!$B$2+(B84-'Регрессия'!$B$3)^2/'Регрессия'!$B$5),'Взвешенная регрессия'!$B$124*(1/'Взвешенная регрессия'!$B$115+(B84-'Взвешенная регрессия'!$B$128)^2/'Взвешенная регрессия'!$B$118)))</f>
        <v/>
      </c>
      <c r="H84" s="6">
        <f>IF(G84="","",SQRT(G84))</f>
        <v/>
      </c>
      <c r="I84" s="6">
        <f>IF(B84="","",SQRT(IF('Ввод'!$B$6=1,'Регрессия'!$B$6,'Взвешенная регрессия'!$B$124)+G84))</f>
        <v/>
      </c>
      <c r="J84" s="6">
        <f>IF(B84="","",SQRT(N(D84)^2+I84^2+(B84*'Ввод'!$B$5)^2))</f>
        <v/>
      </c>
      <c r="K84" s="6">
        <f>IF(B84="","",SQRT(IF('Ввод'!$B$6=1,'Регрессия'!$B$6*(1/E84+1/'Регрессия'!$B$2+(B84-'Регрессия'!$B$3)^2/'Регрессия'!$B$5)+'Регрессия'!$B$10+(B84-'Регрессия'!$B$3)^2*'Регрессия'!$B$9+2*(B84-'Регрессия'!$B$3)*'Регрессия'!$B$11,'Взвешенная регрессия'!$B$124*(1/E84+1/COUNTIFS('Взвешенная регрессия'!$A$11:$A$110,"&gt;=0"))+(B84-'Взвешенная регрессия'!$B$128)^2*'Взвешенная регрессия'!$B$125+'Взвешенная регрессия'!$B$126+2*(B84-'Взвешенная регрессия'!$B$128)*'Взвешенная регрессия'!$B$127)/IF('Ввод'!$B$6=1,'Регрессия'!$B$7,'Взвешенная регрессия'!$B$120)^2+(B84*'Ввод'!$B$5)^2))</f>
        <v/>
      </c>
      <c r="L84" s="6">
        <f>IF(K84="","",2*K84)</f>
        <v/>
      </c>
    </row>
    <row r="85">
      <c r="A85" s="6">
        <f>IF('Ввод'!B89="","",ROW()-4)</f>
        <v/>
      </c>
      <c r="B85" s="6">
        <f>IF('Ввод'!B89="","",'Ввод'!B89)</f>
        <v/>
      </c>
      <c r="C85" s="6">
        <f>IF('Ввод'!J89="","",'Ввод'!J89)</f>
        <v/>
      </c>
      <c r="D85" s="6">
        <f>IF(C85="","",C85/SQRT(E85))</f>
        <v/>
      </c>
      <c r="E85" s="6">
        <f>IF(B85="","",COUNT('Ввод'!C89:E89))</f>
        <v/>
      </c>
      <c r="F85" s="6">
        <f>IF(B85="","",IF('Ввод'!$B$6=1,'Регрессия'!$B$7,'Взвешенная регрессия'!$B$120)*B85+IF('Ввод'!$B$6=1,'Регрессия'!$B$8,'Взвешенная регрессия'!$B$121))</f>
        <v/>
      </c>
      <c r="G85" s="6">
        <f>IF(B85="","",IF('Ввод'!$B$6=1,'Регрессия'!$B$6*(1/'Регрессия'!$B$2+(B85-'Регрессия'!$B$3)^2/'Регрессия'!$B$5),'Взвешенная регрессия'!$B$124*(1/'Взвешенная регрессия'!$B$115+(B85-'Взвешенная регрессия'!$B$128)^2/'Взвешенная регрессия'!$B$118)))</f>
        <v/>
      </c>
      <c r="H85" s="6">
        <f>IF(G85="","",SQRT(G85))</f>
        <v/>
      </c>
      <c r="I85" s="6">
        <f>IF(B85="","",SQRT(IF('Ввод'!$B$6=1,'Регрессия'!$B$6,'Взвешенная регрессия'!$B$124)+G85))</f>
        <v/>
      </c>
      <c r="J85" s="6">
        <f>IF(B85="","",SQRT(N(D85)^2+I85^2+(B85*'Ввод'!$B$5)^2))</f>
        <v/>
      </c>
      <c r="K85" s="6">
        <f>IF(B85="","",SQRT(IF('Ввод'!$B$6=1,'Регрессия'!$B$6*(1/E85+1/'Регрессия'!$B$2+(B85-'Регрессия'!$B$3)^2/'Регрессия'!$B$5)+'Регрессия'!$B$10+(B85-'Регрессия'!$B$3)^2*'Регрессия'!$B$9+2*(B85-'Регрессия'!$B$3)*'Регрессия'!$B$11,'Взвешенная регрессия'!$B$124*(1/E85+1/COUNTIFS('Взвешенная регрессия'!$A$11:$A$110,"&gt;=0"))+(B85-'Взвешенная регрессия'!$B$128)^2*'Взвешенная регрессия'!$B$125+'Взвешенная регрессия'!$B$126+2*(B85-'Взвешенная регрессия'!$B$128)*'Взвешенная регрессия'!$B$127)/IF('Ввод'!$B$6=1,'Регрессия'!$B$7,'Взвешенная регрессия'!$B$120)^2+(B85*'Ввод'!$B$5)^2))</f>
        <v/>
      </c>
      <c r="L85" s="6">
        <f>IF(K85="","",2*K85)</f>
        <v/>
      </c>
    </row>
    <row r="86">
      <c r="A86" s="6">
        <f>IF('Ввод'!B90="","",ROW()-4)</f>
        <v/>
      </c>
      <c r="B86" s="6">
        <f>IF('Ввод'!B90="","",'Ввод'!B90)</f>
        <v/>
      </c>
      <c r="C86" s="6">
        <f>IF('Ввод'!J90="","",'Ввод'!J90)</f>
        <v/>
      </c>
      <c r="D86" s="6">
        <f>IF(C86="","",C86/SQRT(E86))</f>
        <v/>
      </c>
      <c r="E86" s="6">
        <f>IF(B86="","",COUNT('Ввод'!C90:E90))</f>
        <v/>
      </c>
      <c r="F86" s="6">
        <f>IF(B86="","",IF('Ввод'!$B$6=1,'Регрессия'!$B$7,'Взвешенная регрессия'!$B$120)*B86+IF('Ввод'!$B$6=1,'Регрессия'!$B$8,'Взвешенная регрессия'!$B$121))</f>
        <v/>
      </c>
      <c r="G86" s="6">
        <f>IF(B86="","",IF('Ввод'!$B$6=1,'Регрессия'!$B$6*(1/'Регрессия'!$B$2+(B86-'Регрессия'!$B$3)^2/'Регрессия'!$B$5),'Взвешенная регрессия'!$B$124*(1/'Взвешенная регрессия'!$B$115+(B86-'Взвешенная регрессия'!$B$128)^2/'Взвешенная регрессия'!$B$118)))</f>
        <v/>
      </c>
      <c r="H86" s="6">
        <f>IF(G86="","",SQRT(G86))</f>
        <v/>
      </c>
      <c r="I86" s="6">
        <f>IF(B86="","",SQRT(IF('Ввод'!$B$6=1,'Регрессия'!$B$6,'Взвешенная регрессия'!$B$124)+G86))</f>
        <v/>
      </c>
      <c r="J86" s="6">
        <f>IF(B86="","",SQRT(N(D86)^2+I86^2+(B86*'Ввод'!$B$5)^2))</f>
        <v/>
      </c>
      <c r="K86" s="6">
        <f>IF(B86="","",SQRT(IF('Ввод'!$B$6=1,'Регрессия'!$B$6*(1/E86+1/'Регрессия'!$B$2+(B86-'Регрессия'!$B$3)^2/'Регрессия'!$B$5)+'Регрессия'!$B$10+(B86-'Регрессия'!$B$3)^2*'Регрессия'!$B$9+2*(B86-'Регрессия'!$B$3)*'Регрессия'!$B$11,'Взвешенная регрессия'!$B$124*(1/E86+1/COUNTIFS('Взвешенная регрессия'!$A$11:$A$110,"&gt;=0"))+(B86-'Взвешенная регрессия'!$B$128)^2*'Взвешенная регрессия'!$B$125+'Взвешенная регрессия'!$B$126+2*(B86-'Взвешенная регрессия'!$B$128)*'Взвешенная регрессия'!$B$127)/IF('Ввод'!$B$6=1,'Регрессия'!$B$7,'Взвешенная регрессия'!$B$120)^2+(B86*'Ввод'!$B$5)^2))</f>
        <v/>
      </c>
      <c r="L86" s="6">
        <f>IF(K86="","",2*K86)</f>
        <v/>
      </c>
    </row>
    <row r="87">
      <c r="A87" s="6">
        <f>IF('Ввод'!B91="","",ROW()-4)</f>
        <v/>
      </c>
      <c r="B87" s="6">
        <f>IF('Ввод'!B91="","",'Ввод'!B91)</f>
        <v/>
      </c>
      <c r="C87" s="6">
        <f>IF('Ввод'!J91="","",'Ввод'!J91)</f>
        <v/>
      </c>
      <c r="D87" s="6">
        <f>IF(C87="","",C87/SQRT(E87))</f>
        <v/>
      </c>
      <c r="E87" s="6">
        <f>IF(B87="","",COUNT('Ввод'!C91:E91))</f>
        <v/>
      </c>
      <c r="F87" s="6">
        <f>IF(B87="","",IF('Ввод'!$B$6=1,'Регрессия'!$B$7,'Взвешенная регрессия'!$B$120)*B87+IF('Ввод'!$B$6=1,'Регрессия'!$B$8,'Взвешенная регрессия'!$B$121))</f>
        <v/>
      </c>
      <c r="G87" s="6">
        <f>IF(B87="","",IF('Ввод'!$B$6=1,'Регрессия'!$B$6*(1/'Регрессия'!$B$2+(B87-'Регрессия'!$B$3)^2/'Регрессия'!$B$5),'Взвешенная регрессия'!$B$124*(1/'Взвешенная регрессия'!$B$115+(B87-'Взвешенная регрессия'!$B$128)^2/'Взвешенная регрессия'!$B$118)))</f>
        <v/>
      </c>
      <c r="H87" s="6">
        <f>IF(G87="","",SQRT(G87))</f>
        <v/>
      </c>
      <c r="I87" s="6">
        <f>IF(B87="","",SQRT(IF('Ввод'!$B$6=1,'Регрессия'!$B$6,'Взвешенная регрессия'!$B$124)+G87))</f>
        <v/>
      </c>
      <c r="J87" s="6">
        <f>IF(B87="","",SQRT(N(D87)^2+I87^2+(B87*'Ввод'!$B$5)^2))</f>
        <v/>
      </c>
      <c r="K87" s="6">
        <f>IF(B87="","",SQRT(IF('Ввод'!$B$6=1,'Регрессия'!$B$6*(1/E87+1/'Регрессия'!$B$2+(B87-'Регрессия'!$B$3)^2/'Регрессия'!$B$5)+'Регрессия'!$B$10+(B87-'Регрессия'!$B$3)^2*'Регрессия'!$B$9+2*(B87-'Регрессия'!$B$3)*'Регрессия'!$B$11,'Взвешенная регрессия'!$B$124*(1/E87+1/COUNTIFS('Взвешенная регрессия'!$A$11:$A$110,"&gt;=0"))+(B87-'Взвешенная регрессия'!$B$128)^2*'Взвешенная регрессия'!$B$125+'Взвешенная регрессия'!$B$126+2*(B87-'Взвешенная регрессия'!$B$128)*'Взвешенная регрессия'!$B$127)/IF('Ввод'!$B$6=1,'Регрессия'!$B$7,'Взвешенная регрессия'!$B$120)^2+(B87*'Ввод'!$B$5)^2))</f>
        <v/>
      </c>
      <c r="L87" s="6">
        <f>IF(K87="","",2*K87)</f>
        <v/>
      </c>
    </row>
    <row r="88">
      <c r="A88" s="6">
        <f>IF('Ввод'!B92="","",ROW()-4)</f>
        <v/>
      </c>
      <c r="B88" s="6">
        <f>IF('Ввод'!B92="","",'Ввод'!B92)</f>
        <v/>
      </c>
      <c r="C88" s="6">
        <f>IF('Ввод'!J92="","",'Ввод'!J92)</f>
        <v/>
      </c>
      <c r="D88" s="6">
        <f>IF(C88="","",C88/SQRT(E88))</f>
        <v/>
      </c>
      <c r="E88" s="6">
        <f>IF(B88="","",COUNT('Ввод'!C92:E92))</f>
        <v/>
      </c>
      <c r="F88" s="6">
        <f>IF(B88="","",IF('Ввод'!$B$6=1,'Регрессия'!$B$7,'Взвешенная регрессия'!$B$120)*B88+IF('Ввод'!$B$6=1,'Регрессия'!$B$8,'Взвешенная регрессия'!$B$121))</f>
        <v/>
      </c>
      <c r="G88" s="6">
        <f>IF(B88="","",IF('Ввод'!$B$6=1,'Регрессия'!$B$6*(1/'Регрессия'!$B$2+(B88-'Регрессия'!$B$3)^2/'Регрессия'!$B$5),'Взвешенная регрессия'!$B$124*(1/'Взвешенная регрессия'!$B$115+(B88-'Взвешенная регрессия'!$B$128)^2/'Взвешенная регрессия'!$B$118)))</f>
        <v/>
      </c>
      <c r="H88" s="6">
        <f>IF(G88="","",SQRT(G88))</f>
        <v/>
      </c>
      <c r="I88" s="6">
        <f>IF(B88="","",SQRT(IF('Ввод'!$B$6=1,'Регрессия'!$B$6,'Взвешенная регрессия'!$B$124)+G88))</f>
        <v/>
      </c>
      <c r="J88" s="6">
        <f>IF(B88="","",SQRT(N(D88)^2+I88^2+(B88*'Ввод'!$B$5)^2))</f>
        <v/>
      </c>
      <c r="K88" s="6">
        <f>IF(B88="","",SQRT(IF('Ввод'!$B$6=1,'Регрессия'!$B$6*(1/E88+1/'Регрессия'!$B$2+(B88-'Регрессия'!$B$3)^2/'Регрессия'!$B$5)+'Регрессия'!$B$10+(B88-'Регрессия'!$B$3)^2*'Регрессия'!$B$9+2*(B88-'Регрессия'!$B$3)*'Регрессия'!$B$11,'Взвешенная регрессия'!$B$124*(1/E88+1/COUNTIFS('Взвешенная регрессия'!$A$11:$A$110,"&gt;=0"))+(B88-'Взвешенная регрессия'!$B$128)^2*'Взвешенная регрессия'!$B$125+'Взвешенная регрессия'!$B$126+2*(B88-'Взвешенная регрессия'!$B$128)*'Взвешенная регрессия'!$B$127)/IF('Ввод'!$B$6=1,'Регрессия'!$B$7,'Взвешенная регрессия'!$B$120)^2+(B88*'Ввод'!$B$5)^2))</f>
        <v/>
      </c>
      <c r="L88" s="6">
        <f>IF(K88="","",2*K88)</f>
        <v/>
      </c>
    </row>
    <row r="89">
      <c r="A89" s="6">
        <f>IF('Ввод'!B93="","",ROW()-4)</f>
        <v/>
      </c>
      <c r="B89" s="6">
        <f>IF('Ввод'!B93="","",'Ввод'!B93)</f>
        <v/>
      </c>
      <c r="C89" s="6">
        <f>IF('Ввод'!J93="","",'Ввод'!J93)</f>
        <v/>
      </c>
      <c r="D89" s="6">
        <f>IF(C89="","",C89/SQRT(E89))</f>
        <v/>
      </c>
      <c r="E89" s="6">
        <f>IF(B89="","",COUNT('Ввод'!C93:E93))</f>
        <v/>
      </c>
      <c r="F89" s="6">
        <f>IF(B89="","",IF('Ввод'!$B$6=1,'Регрессия'!$B$7,'Взвешенная регрессия'!$B$120)*B89+IF('Ввод'!$B$6=1,'Регрессия'!$B$8,'Взвешенная регрессия'!$B$121))</f>
        <v/>
      </c>
      <c r="G89" s="6">
        <f>IF(B89="","",IF('Ввод'!$B$6=1,'Регрессия'!$B$6*(1/'Регрессия'!$B$2+(B89-'Регрессия'!$B$3)^2/'Регрессия'!$B$5),'Взвешенная регрессия'!$B$124*(1/'Взвешенная регрессия'!$B$115+(B89-'Взвешенная регрессия'!$B$128)^2/'Взвешенная регрессия'!$B$118)))</f>
        <v/>
      </c>
      <c r="H89" s="6">
        <f>IF(G89="","",SQRT(G89))</f>
        <v/>
      </c>
      <c r="I89" s="6">
        <f>IF(B89="","",SQRT(IF('Ввод'!$B$6=1,'Регрессия'!$B$6,'Взвешенная регрессия'!$B$124)+G89))</f>
        <v/>
      </c>
      <c r="J89" s="6">
        <f>IF(B89="","",SQRT(N(D89)^2+I89^2+(B89*'Ввод'!$B$5)^2))</f>
        <v/>
      </c>
      <c r="K89" s="6">
        <f>IF(B89="","",SQRT(IF('Ввод'!$B$6=1,'Регрессия'!$B$6*(1/E89+1/'Регрессия'!$B$2+(B89-'Регрессия'!$B$3)^2/'Регрессия'!$B$5)+'Регрессия'!$B$10+(B89-'Регрессия'!$B$3)^2*'Регрессия'!$B$9+2*(B89-'Регрессия'!$B$3)*'Регрессия'!$B$11,'Взвешенная регрессия'!$B$124*(1/E89+1/COUNTIFS('Взвешенная регрессия'!$A$11:$A$110,"&gt;=0"))+(B89-'Взвешенная регрессия'!$B$128)^2*'Взвешенная регрессия'!$B$125+'Взвешенная регрессия'!$B$126+2*(B89-'Взвешенная регрессия'!$B$128)*'Взвешенная регрессия'!$B$127)/IF('Ввод'!$B$6=1,'Регрессия'!$B$7,'Взвешенная регрессия'!$B$120)^2+(B89*'Ввод'!$B$5)^2))</f>
        <v/>
      </c>
      <c r="L89" s="6">
        <f>IF(K89="","",2*K89)</f>
        <v/>
      </c>
    </row>
    <row r="90">
      <c r="A90" s="6">
        <f>IF('Ввод'!B94="","",ROW()-4)</f>
        <v/>
      </c>
      <c r="B90" s="6">
        <f>IF('Ввод'!B94="","",'Ввод'!B94)</f>
        <v/>
      </c>
      <c r="C90" s="6">
        <f>IF('Ввод'!J94="","",'Ввод'!J94)</f>
        <v/>
      </c>
      <c r="D90" s="6">
        <f>IF(C90="","",C90/SQRT(E90))</f>
        <v/>
      </c>
      <c r="E90" s="6">
        <f>IF(B90="","",COUNT('Ввод'!C94:E94))</f>
        <v/>
      </c>
      <c r="F90" s="6">
        <f>IF(B90="","",IF('Ввод'!$B$6=1,'Регрессия'!$B$7,'Взвешенная регрессия'!$B$120)*B90+IF('Ввод'!$B$6=1,'Регрессия'!$B$8,'Взвешенная регрессия'!$B$121))</f>
        <v/>
      </c>
      <c r="G90" s="6">
        <f>IF(B90="","",IF('Ввод'!$B$6=1,'Регрессия'!$B$6*(1/'Регрессия'!$B$2+(B90-'Регрессия'!$B$3)^2/'Регрессия'!$B$5),'Взвешенная регрессия'!$B$124*(1/'Взвешенная регрессия'!$B$115+(B90-'Взвешенная регрессия'!$B$128)^2/'Взвешенная регрессия'!$B$118)))</f>
        <v/>
      </c>
      <c r="H90" s="6">
        <f>IF(G90="","",SQRT(G90))</f>
        <v/>
      </c>
      <c r="I90" s="6">
        <f>IF(B90="","",SQRT(IF('Ввод'!$B$6=1,'Регрессия'!$B$6,'Взвешенная регрессия'!$B$124)+G90))</f>
        <v/>
      </c>
      <c r="J90" s="6">
        <f>IF(B90="","",SQRT(N(D90)^2+I90^2+(B90*'Ввод'!$B$5)^2))</f>
        <v/>
      </c>
      <c r="K90" s="6">
        <f>IF(B90="","",SQRT(IF('Ввод'!$B$6=1,'Регрессия'!$B$6*(1/E90+1/'Регрессия'!$B$2+(B90-'Регрессия'!$B$3)^2/'Регрессия'!$B$5)+'Регрессия'!$B$10+(B90-'Регрессия'!$B$3)^2*'Регрессия'!$B$9+2*(B90-'Регрессия'!$B$3)*'Регрессия'!$B$11,'Взвешенная регрессия'!$B$124*(1/E90+1/COUNTIFS('Взвешенная регрессия'!$A$11:$A$110,"&gt;=0"))+(B90-'Взвешенная регрессия'!$B$128)^2*'Взвешенная регрессия'!$B$125+'Взвешенная регрессия'!$B$126+2*(B90-'Взвешенная регрессия'!$B$128)*'Взвешенная регрессия'!$B$127)/IF('Ввод'!$B$6=1,'Регрессия'!$B$7,'Взвешенная регрессия'!$B$120)^2+(B90*'Ввод'!$B$5)^2))</f>
        <v/>
      </c>
      <c r="L90" s="6">
        <f>IF(K90="","",2*K90)</f>
        <v/>
      </c>
    </row>
    <row r="91">
      <c r="A91" s="6">
        <f>IF('Ввод'!B95="","",ROW()-4)</f>
        <v/>
      </c>
      <c r="B91" s="6">
        <f>IF('Ввод'!B95="","",'Ввод'!B95)</f>
        <v/>
      </c>
      <c r="C91" s="6">
        <f>IF('Ввод'!J95="","",'Ввод'!J95)</f>
        <v/>
      </c>
      <c r="D91" s="6">
        <f>IF(C91="","",C91/SQRT(E91))</f>
        <v/>
      </c>
      <c r="E91" s="6">
        <f>IF(B91="","",COUNT('Ввод'!C95:E95))</f>
        <v/>
      </c>
      <c r="F91" s="6">
        <f>IF(B91="","",IF('Ввод'!$B$6=1,'Регрессия'!$B$7,'Взвешенная регрессия'!$B$120)*B91+IF('Ввод'!$B$6=1,'Регрессия'!$B$8,'Взвешенная регрессия'!$B$121))</f>
        <v/>
      </c>
      <c r="G91" s="6">
        <f>IF(B91="","",IF('Ввод'!$B$6=1,'Регрессия'!$B$6*(1/'Регрессия'!$B$2+(B91-'Регрессия'!$B$3)^2/'Регрессия'!$B$5),'Взвешенная регрессия'!$B$124*(1/'Взвешенная регрессия'!$B$115+(B91-'Взвешенная регрессия'!$B$128)^2/'Взвешенная регрессия'!$B$118)))</f>
        <v/>
      </c>
      <c r="H91" s="6">
        <f>IF(G91="","",SQRT(G91))</f>
        <v/>
      </c>
      <c r="I91" s="6">
        <f>IF(B91="","",SQRT(IF('Ввод'!$B$6=1,'Регрессия'!$B$6,'Взвешенная регрессия'!$B$124)+G91))</f>
        <v/>
      </c>
      <c r="J91" s="6">
        <f>IF(B91="","",SQRT(N(D91)^2+I91^2+(B91*'Ввод'!$B$5)^2))</f>
        <v/>
      </c>
      <c r="K91" s="6">
        <f>IF(B91="","",SQRT(IF('Ввод'!$B$6=1,'Регрессия'!$B$6*(1/E91+1/'Регрессия'!$B$2+(B91-'Регрессия'!$B$3)^2/'Регрессия'!$B$5)+'Регрессия'!$B$10+(B91-'Регрессия'!$B$3)^2*'Регрессия'!$B$9+2*(B91-'Регрессия'!$B$3)*'Регрессия'!$B$11,'Взвешенная регрессия'!$B$124*(1/E91+1/COUNTIFS('Взвешенная регрессия'!$A$11:$A$110,"&gt;=0"))+(B91-'Взвешенная регрессия'!$B$128)^2*'Взвешенная регрессия'!$B$125+'Взвешенная регрессия'!$B$126+2*(B91-'Взвешенная регрессия'!$B$128)*'Взвешенная регрессия'!$B$127)/IF('Ввод'!$B$6=1,'Регрессия'!$B$7,'Взвешенная регрессия'!$B$120)^2+(B91*'Ввод'!$B$5)^2))</f>
        <v/>
      </c>
      <c r="L91" s="6">
        <f>IF(K91="","",2*K91)</f>
        <v/>
      </c>
    </row>
    <row r="92">
      <c r="A92" s="6">
        <f>IF('Ввод'!B96="","",ROW()-4)</f>
        <v/>
      </c>
      <c r="B92" s="6">
        <f>IF('Ввод'!B96="","",'Ввод'!B96)</f>
        <v/>
      </c>
      <c r="C92" s="6">
        <f>IF('Ввод'!J96="","",'Ввод'!J96)</f>
        <v/>
      </c>
      <c r="D92" s="6">
        <f>IF(C92="","",C92/SQRT(E92))</f>
        <v/>
      </c>
      <c r="E92" s="6">
        <f>IF(B92="","",COUNT('Ввод'!C96:E96))</f>
        <v/>
      </c>
      <c r="F92" s="6">
        <f>IF(B92="","",IF('Ввод'!$B$6=1,'Регрессия'!$B$7,'Взвешенная регрессия'!$B$120)*B92+IF('Ввод'!$B$6=1,'Регрессия'!$B$8,'Взвешенная регрессия'!$B$121))</f>
        <v/>
      </c>
      <c r="G92" s="6">
        <f>IF(B92="","",IF('Ввод'!$B$6=1,'Регрессия'!$B$6*(1/'Регрессия'!$B$2+(B92-'Регрессия'!$B$3)^2/'Регрессия'!$B$5),'Взвешенная регрессия'!$B$124*(1/'Взвешенная регрессия'!$B$115+(B92-'Взвешенная регрессия'!$B$128)^2/'Взвешенная регрессия'!$B$118)))</f>
        <v/>
      </c>
      <c r="H92" s="6">
        <f>IF(G92="","",SQRT(G92))</f>
        <v/>
      </c>
      <c r="I92" s="6">
        <f>IF(B92="","",SQRT(IF('Ввод'!$B$6=1,'Регрессия'!$B$6,'Взвешенная регрессия'!$B$124)+G92))</f>
        <v/>
      </c>
      <c r="J92" s="6">
        <f>IF(B92="","",SQRT(N(D92)^2+I92^2+(B92*'Ввод'!$B$5)^2))</f>
        <v/>
      </c>
      <c r="K92" s="6">
        <f>IF(B92="","",SQRT(IF('Ввод'!$B$6=1,'Регрессия'!$B$6*(1/E92+1/'Регрессия'!$B$2+(B92-'Регрессия'!$B$3)^2/'Регрессия'!$B$5)+'Регрессия'!$B$10+(B92-'Регрессия'!$B$3)^2*'Регрессия'!$B$9+2*(B92-'Регрессия'!$B$3)*'Регрессия'!$B$11,'Взвешенная регрессия'!$B$124*(1/E92+1/COUNTIFS('Взвешенная регрессия'!$A$11:$A$110,"&gt;=0"))+(B92-'Взвешенная регрессия'!$B$128)^2*'Взвешенная регрессия'!$B$125+'Взвешенная регрессия'!$B$126+2*(B92-'Взвешенная регрессия'!$B$128)*'Взвешенная регрессия'!$B$127)/IF('Ввод'!$B$6=1,'Регрессия'!$B$7,'Взвешенная регрессия'!$B$120)^2+(B92*'Ввод'!$B$5)^2))</f>
        <v/>
      </c>
      <c r="L92" s="6">
        <f>IF(K92="","",2*K92)</f>
        <v/>
      </c>
    </row>
    <row r="93">
      <c r="A93" s="6">
        <f>IF('Ввод'!B97="","",ROW()-4)</f>
        <v/>
      </c>
      <c r="B93" s="6">
        <f>IF('Ввод'!B97="","",'Ввод'!B97)</f>
        <v/>
      </c>
      <c r="C93" s="6">
        <f>IF('Ввод'!J97="","",'Ввод'!J97)</f>
        <v/>
      </c>
      <c r="D93" s="6">
        <f>IF(C93="","",C93/SQRT(E93))</f>
        <v/>
      </c>
      <c r="E93" s="6">
        <f>IF(B93="","",COUNT('Ввод'!C97:E97))</f>
        <v/>
      </c>
      <c r="F93" s="6">
        <f>IF(B93="","",IF('Ввод'!$B$6=1,'Регрессия'!$B$7,'Взвешенная регрессия'!$B$120)*B93+IF('Ввод'!$B$6=1,'Регрессия'!$B$8,'Взвешенная регрессия'!$B$121))</f>
        <v/>
      </c>
      <c r="G93" s="6">
        <f>IF(B93="","",IF('Ввод'!$B$6=1,'Регрессия'!$B$6*(1/'Регрессия'!$B$2+(B93-'Регрессия'!$B$3)^2/'Регрессия'!$B$5),'Взвешенная регрессия'!$B$124*(1/'Взвешенная регрессия'!$B$115+(B93-'Взвешенная регрессия'!$B$128)^2/'Взвешенная регрессия'!$B$118)))</f>
        <v/>
      </c>
      <c r="H93" s="6">
        <f>IF(G93="","",SQRT(G93))</f>
        <v/>
      </c>
      <c r="I93" s="6">
        <f>IF(B93="","",SQRT(IF('Ввод'!$B$6=1,'Регрессия'!$B$6,'Взвешенная регрессия'!$B$124)+G93))</f>
        <v/>
      </c>
      <c r="J93" s="6">
        <f>IF(B93="","",SQRT(N(D93)^2+I93^2+(B93*'Ввод'!$B$5)^2))</f>
        <v/>
      </c>
      <c r="K93" s="6">
        <f>IF(B93="","",SQRT(IF('Ввод'!$B$6=1,'Регрессия'!$B$6*(1/E93+1/'Регрессия'!$B$2+(B93-'Регрессия'!$B$3)^2/'Регрессия'!$B$5)+'Регрессия'!$B$10+(B93-'Регрессия'!$B$3)^2*'Регрессия'!$B$9+2*(B93-'Регрессия'!$B$3)*'Регрессия'!$B$11,'Взвешенная регрессия'!$B$124*(1/E93+1/COUNTIFS('Взвешенная регрессия'!$A$11:$A$110,"&gt;=0"))+(B93-'Взвешенная регрессия'!$B$128)^2*'Взвешенная регрессия'!$B$125+'Взвешенная регрессия'!$B$126+2*(B93-'Взвешенная регрессия'!$B$128)*'Взвешенная регрессия'!$B$127)/IF('Ввод'!$B$6=1,'Регрессия'!$B$7,'Взвешенная регрессия'!$B$120)^2+(B93*'Ввод'!$B$5)^2))</f>
        <v/>
      </c>
      <c r="L93" s="6">
        <f>IF(K93="","",2*K93)</f>
        <v/>
      </c>
    </row>
    <row r="94">
      <c r="A94" s="6">
        <f>IF('Ввод'!B98="","",ROW()-4)</f>
        <v/>
      </c>
      <c r="B94" s="6">
        <f>IF('Ввод'!B98="","",'Ввод'!B98)</f>
        <v/>
      </c>
      <c r="C94" s="6">
        <f>IF('Ввод'!J98="","",'Ввод'!J98)</f>
        <v/>
      </c>
      <c r="D94" s="6">
        <f>IF(C94="","",C94/SQRT(E94))</f>
        <v/>
      </c>
      <c r="E94" s="6">
        <f>IF(B94="","",COUNT('Ввод'!C98:E98))</f>
        <v/>
      </c>
      <c r="F94" s="6">
        <f>IF(B94="","",IF('Ввод'!$B$6=1,'Регрессия'!$B$7,'Взвешенная регрессия'!$B$120)*B94+IF('Ввод'!$B$6=1,'Регрессия'!$B$8,'Взвешенная регрессия'!$B$121))</f>
        <v/>
      </c>
      <c r="G94" s="6">
        <f>IF(B94="","",IF('Ввод'!$B$6=1,'Регрессия'!$B$6*(1/'Регрессия'!$B$2+(B94-'Регрессия'!$B$3)^2/'Регрессия'!$B$5),'Взвешенная регрессия'!$B$124*(1/'Взвешенная регрессия'!$B$115+(B94-'Взвешенная регрессия'!$B$128)^2/'Взвешенная регрессия'!$B$118)))</f>
        <v/>
      </c>
      <c r="H94" s="6">
        <f>IF(G94="","",SQRT(G94))</f>
        <v/>
      </c>
      <c r="I94" s="6">
        <f>IF(B94="","",SQRT(IF('Ввод'!$B$6=1,'Регрессия'!$B$6,'Взвешенная регрессия'!$B$124)+G94))</f>
        <v/>
      </c>
      <c r="J94" s="6">
        <f>IF(B94="","",SQRT(N(D94)^2+I94^2+(B94*'Ввод'!$B$5)^2))</f>
        <v/>
      </c>
      <c r="K94" s="6">
        <f>IF(B94="","",SQRT(IF('Ввод'!$B$6=1,'Регрессия'!$B$6*(1/E94+1/'Регрессия'!$B$2+(B94-'Регрессия'!$B$3)^2/'Регрессия'!$B$5)+'Регрессия'!$B$10+(B94-'Регрессия'!$B$3)^2*'Регрессия'!$B$9+2*(B94-'Регрессия'!$B$3)*'Регрессия'!$B$11,'Взвешенная регрессия'!$B$124*(1/E94+1/COUNTIFS('Взвешенная регрессия'!$A$11:$A$110,"&gt;=0"))+(B94-'Взвешенная регрессия'!$B$128)^2*'Взвешенная регрессия'!$B$125+'Взвешенная регрессия'!$B$126+2*(B94-'Взвешенная регрессия'!$B$128)*'Взвешенная регрессия'!$B$127)/IF('Ввод'!$B$6=1,'Регрессия'!$B$7,'Взвешенная регрессия'!$B$120)^2+(B94*'Ввод'!$B$5)^2))</f>
        <v/>
      </c>
      <c r="L94" s="6">
        <f>IF(K94="","",2*K94)</f>
        <v/>
      </c>
    </row>
    <row r="95">
      <c r="A95" s="6">
        <f>IF('Ввод'!B99="","",ROW()-4)</f>
        <v/>
      </c>
      <c r="B95" s="6">
        <f>IF('Ввод'!B99="","",'Ввод'!B99)</f>
        <v/>
      </c>
      <c r="C95" s="6">
        <f>IF('Ввод'!J99="","",'Ввод'!J99)</f>
        <v/>
      </c>
      <c r="D95" s="6">
        <f>IF(C95="","",C95/SQRT(E95))</f>
        <v/>
      </c>
      <c r="E95" s="6">
        <f>IF(B95="","",COUNT('Ввод'!C99:E99))</f>
        <v/>
      </c>
      <c r="F95" s="6">
        <f>IF(B95="","",IF('Ввод'!$B$6=1,'Регрессия'!$B$7,'Взвешенная регрессия'!$B$120)*B95+IF('Ввод'!$B$6=1,'Регрессия'!$B$8,'Взвешенная регрессия'!$B$121))</f>
        <v/>
      </c>
      <c r="G95" s="6">
        <f>IF(B95="","",IF('Ввод'!$B$6=1,'Регрессия'!$B$6*(1/'Регрессия'!$B$2+(B95-'Регрессия'!$B$3)^2/'Регрессия'!$B$5),'Взвешенная регрессия'!$B$124*(1/'Взвешенная регрессия'!$B$115+(B95-'Взвешенная регрессия'!$B$128)^2/'Взвешенная регрессия'!$B$118)))</f>
        <v/>
      </c>
      <c r="H95" s="6">
        <f>IF(G95="","",SQRT(G95))</f>
        <v/>
      </c>
      <c r="I95" s="6">
        <f>IF(B95="","",SQRT(IF('Ввод'!$B$6=1,'Регрессия'!$B$6,'Взвешенная регрессия'!$B$124)+G95))</f>
        <v/>
      </c>
      <c r="J95" s="6">
        <f>IF(B95="","",SQRT(N(D95)^2+I95^2+(B95*'Ввод'!$B$5)^2))</f>
        <v/>
      </c>
      <c r="K95" s="6">
        <f>IF(B95="","",SQRT(IF('Ввод'!$B$6=1,'Регрессия'!$B$6*(1/E95+1/'Регрессия'!$B$2+(B95-'Регрессия'!$B$3)^2/'Регрессия'!$B$5)+'Регрессия'!$B$10+(B95-'Регрессия'!$B$3)^2*'Регрессия'!$B$9+2*(B95-'Регрессия'!$B$3)*'Регрессия'!$B$11,'Взвешенная регрессия'!$B$124*(1/E95+1/COUNTIFS('Взвешенная регрессия'!$A$11:$A$110,"&gt;=0"))+(B95-'Взвешенная регрессия'!$B$128)^2*'Взвешенная регрессия'!$B$125+'Взвешенная регрессия'!$B$126+2*(B95-'Взвешенная регрессия'!$B$128)*'Взвешенная регрессия'!$B$127)/IF('Ввод'!$B$6=1,'Регрессия'!$B$7,'Взвешенная регрессия'!$B$120)^2+(B95*'Ввод'!$B$5)^2))</f>
        <v/>
      </c>
      <c r="L95" s="6">
        <f>IF(K95="","",2*K95)</f>
        <v/>
      </c>
    </row>
    <row r="96">
      <c r="A96" s="6">
        <f>IF('Ввод'!B100="","",ROW()-4)</f>
        <v/>
      </c>
      <c r="B96" s="6">
        <f>IF('Ввод'!B100="","",'Ввод'!B100)</f>
        <v/>
      </c>
      <c r="C96" s="6">
        <f>IF('Ввод'!J100="","",'Ввод'!J100)</f>
        <v/>
      </c>
      <c r="D96" s="6">
        <f>IF(C96="","",C96/SQRT(E96))</f>
        <v/>
      </c>
      <c r="E96" s="6">
        <f>IF(B96="","",COUNT('Ввод'!C100:E100))</f>
        <v/>
      </c>
      <c r="F96" s="6">
        <f>IF(B96="","",IF('Ввод'!$B$6=1,'Регрессия'!$B$7,'Взвешенная регрессия'!$B$120)*B96+IF('Ввод'!$B$6=1,'Регрессия'!$B$8,'Взвешенная регрессия'!$B$121))</f>
        <v/>
      </c>
      <c r="G96" s="6">
        <f>IF(B96="","",IF('Ввод'!$B$6=1,'Регрессия'!$B$6*(1/'Регрессия'!$B$2+(B96-'Регрессия'!$B$3)^2/'Регрессия'!$B$5),'Взвешенная регрессия'!$B$124*(1/'Взвешенная регрессия'!$B$115+(B96-'Взвешенная регрессия'!$B$128)^2/'Взвешенная регрессия'!$B$118)))</f>
        <v/>
      </c>
      <c r="H96" s="6">
        <f>IF(G96="","",SQRT(G96))</f>
        <v/>
      </c>
      <c r="I96" s="6">
        <f>IF(B96="","",SQRT(IF('Ввод'!$B$6=1,'Регрессия'!$B$6,'Взвешенная регрессия'!$B$124)+G96))</f>
        <v/>
      </c>
      <c r="J96" s="6">
        <f>IF(B96="","",SQRT(N(D96)^2+I96^2+(B96*'Ввод'!$B$5)^2))</f>
        <v/>
      </c>
      <c r="K96" s="6">
        <f>IF(B96="","",SQRT(IF('Ввод'!$B$6=1,'Регрессия'!$B$6*(1/E96+1/'Регрессия'!$B$2+(B96-'Регрессия'!$B$3)^2/'Регрессия'!$B$5)+'Регрессия'!$B$10+(B96-'Регрессия'!$B$3)^2*'Регрессия'!$B$9+2*(B96-'Регрессия'!$B$3)*'Регрессия'!$B$11,'Взвешенная регрессия'!$B$124*(1/E96+1/COUNTIFS('Взвешенная регрессия'!$A$11:$A$110,"&gt;=0"))+(B96-'Взвешенная регрессия'!$B$128)^2*'Взвешенная регрессия'!$B$125+'Взвешенная регрессия'!$B$126+2*(B96-'Взвешенная регрессия'!$B$128)*'Взвешенная регрессия'!$B$127)/IF('Ввод'!$B$6=1,'Регрессия'!$B$7,'Взвешенная регрессия'!$B$120)^2+(B96*'Ввод'!$B$5)^2))</f>
        <v/>
      </c>
      <c r="L96" s="6">
        <f>IF(K96="","",2*K96)</f>
        <v/>
      </c>
    </row>
    <row r="97">
      <c r="A97" s="6">
        <f>IF('Ввод'!B101="","",ROW()-4)</f>
        <v/>
      </c>
      <c r="B97" s="6">
        <f>IF('Ввод'!B101="","",'Ввод'!B101)</f>
        <v/>
      </c>
      <c r="C97" s="6">
        <f>IF('Ввод'!J101="","",'Ввод'!J101)</f>
        <v/>
      </c>
      <c r="D97" s="6">
        <f>IF(C97="","",C97/SQRT(E97))</f>
        <v/>
      </c>
      <c r="E97" s="6">
        <f>IF(B97="","",COUNT('Ввод'!C101:E101))</f>
        <v/>
      </c>
      <c r="F97" s="6">
        <f>IF(B97="","",IF('Ввод'!$B$6=1,'Регрессия'!$B$7,'Взвешенная регрессия'!$B$120)*B97+IF('Ввод'!$B$6=1,'Регрессия'!$B$8,'Взвешенная регрессия'!$B$121))</f>
        <v/>
      </c>
      <c r="G97" s="6">
        <f>IF(B97="","",IF('Ввод'!$B$6=1,'Регрессия'!$B$6*(1/'Регрессия'!$B$2+(B97-'Регрессия'!$B$3)^2/'Регрессия'!$B$5),'Взвешенная регрессия'!$B$124*(1/'Взвешенная регрессия'!$B$115+(B97-'Взвешенная регрессия'!$B$128)^2/'Взвешенная регрессия'!$B$118)))</f>
        <v/>
      </c>
      <c r="H97" s="6">
        <f>IF(G97="","",SQRT(G97))</f>
        <v/>
      </c>
      <c r="I97" s="6">
        <f>IF(B97="","",SQRT(IF('Ввод'!$B$6=1,'Регрессия'!$B$6,'Взвешенная регрессия'!$B$124)+G97))</f>
        <v/>
      </c>
      <c r="J97" s="6">
        <f>IF(B97="","",SQRT(N(D97)^2+I97^2+(B97*'Ввод'!$B$5)^2))</f>
        <v/>
      </c>
      <c r="K97" s="6">
        <f>IF(B97="","",SQRT(IF('Ввод'!$B$6=1,'Регрессия'!$B$6*(1/E97+1/'Регрессия'!$B$2+(B97-'Регрессия'!$B$3)^2/'Регрессия'!$B$5)+'Регрессия'!$B$10+(B97-'Регрессия'!$B$3)^2*'Регрессия'!$B$9+2*(B97-'Регрессия'!$B$3)*'Регрессия'!$B$11,'Взвешенная регрессия'!$B$124*(1/E97+1/COUNTIFS('Взвешенная регрессия'!$A$11:$A$110,"&gt;=0"))+(B97-'Взвешенная регрессия'!$B$128)^2*'Взвешенная регрессия'!$B$125+'Взвешенная регрессия'!$B$126+2*(B97-'Взвешенная регрессия'!$B$128)*'Взвешенная регрессия'!$B$127)/IF('Ввод'!$B$6=1,'Регрессия'!$B$7,'Взвешенная регрессия'!$B$120)^2+(B97*'Ввод'!$B$5)^2))</f>
        <v/>
      </c>
      <c r="L97" s="6">
        <f>IF(K97="","",2*K97)</f>
        <v/>
      </c>
    </row>
    <row r="98">
      <c r="A98" s="6">
        <f>IF('Ввод'!B102="","",ROW()-4)</f>
        <v/>
      </c>
      <c r="B98" s="6">
        <f>IF('Ввод'!B102="","",'Ввод'!B102)</f>
        <v/>
      </c>
      <c r="C98" s="6">
        <f>IF('Ввод'!J102="","",'Ввод'!J102)</f>
        <v/>
      </c>
      <c r="D98" s="6">
        <f>IF(C98="","",C98/SQRT(E98))</f>
        <v/>
      </c>
      <c r="E98" s="6">
        <f>IF(B98="","",COUNT('Ввод'!C102:E102))</f>
        <v/>
      </c>
      <c r="F98" s="6">
        <f>IF(B98="","",IF('Ввод'!$B$6=1,'Регрессия'!$B$7,'Взвешенная регрессия'!$B$120)*B98+IF('Ввод'!$B$6=1,'Регрессия'!$B$8,'Взвешенная регрессия'!$B$121))</f>
        <v/>
      </c>
      <c r="G98" s="6">
        <f>IF(B98="","",IF('Ввод'!$B$6=1,'Регрессия'!$B$6*(1/'Регрессия'!$B$2+(B98-'Регрессия'!$B$3)^2/'Регрессия'!$B$5),'Взвешенная регрессия'!$B$124*(1/'Взвешенная регрессия'!$B$115+(B98-'Взвешенная регрессия'!$B$128)^2/'Взвешенная регрессия'!$B$118)))</f>
        <v/>
      </c>
      <c r="H98" s="6">
        <f>IF(G98="","",SQRT(G98))</f>
        <v/>
      </c>
      <c r="I98" s="6">
        <f>IF(B98="","",SQRT(IF('Ввод'!$B$6=1,'Регрессия'!$B$6,'Взвешенная регрессия'!$B$124)+G98))</f>
        <v/>
      </c>
      <c r="J98" s="6">
        <f>IF(B98="","",SQRT(N(D98)^2+I98^2+(B98*'Ввод'!$B$5)^2))</f>
        <v/>
      </c>
      <c r="K98" s="6">
        <f>IF(B98="","",SQRT(IF('Ввод'!$B$6=1,'Регрессия'!$B$6*(1/E98+1/'Регрессия'!$B$2+(B98-'Регрессия'!$B$3)^2/'Регрессия'!$B$5)+'Регрессия'!$B$10+(B98-'Регрессия'!$B$3)^2*'Регрессия'!$B$9+2*(B98-'Регрессия'!$B$3)*'Регрессия'!$B$11,'Взвешенная регрессия'!$B$124*(1/E98+1/COUNTIFS('Взвешенная регрессия'!$A$11:$A$110,"&gt;=0"))+(B98-'Взвешенная регрессия'!$B$128)^2*'Взвешенная регрессия'!$B$125+'Взвешенная регрессия'!$B$126+2*(B98-'Взвешенная регрессия'!$B$128)*'Взвешенная регрессия'!$B$127)/IF('Ввод'!$B$6=1,'Регрессия'!$B$7,'Взвешенная регрессия'!$B$120)^2+(B98*'Ввод'!$B$5)^2))</f>
        <v/>
      </c>
      <c r="L98" s="6">
        <f>IF(K98="","",2*K98)</f>
        <v/>
      </c>
    </row>
    <row r="99">
      <c r="A99" s="6">
        <f>IF('Ввод'!B103="","",ROW()-4)</f>
        <v/>
      </c>
      <c r="B99" s="6">
        <f>IF('Ввод'!B103="","",'Ввод'!B103)</f>
        <v/>
      </c>
      <c r="C99" s="6">
        <f>IF('Ввод'!J103="","",'Ввод'!J103)</f>
        <v/>
      </c>
      <c r="D99" s="6">
        <f>IF(C99="","",C99/SQRT(E99))</f>
        <v/>
      </c>
      <c r="E99" s="6">
        <f>IF(B99="","",COUNT('Ввод'!C103:E103))</f>
        <v/>
      </c>
      <c r="F99" s="6">
        <f>IF(B99="","",IF('Ввод'!$B$6=1,'Регрессия'!$B$7,'Взвешенная регрессия'!$B$120)*B99+IF('Ввод'!$B$6=1,'Регрессия'!$B$8,'Взвешенная регрессия'!$B$121))</f>
        <v/>
      </c>
      <c r="G99" s="6">
        <f>IF(B99="","",IF('Ввод'!$B$6=1,'Регрессия'!$B$6*(1/'Регрессия'!$B$2+(B99-'Регрессия'!$B$3)^2/'Регрессия'!$B$5),'Взвешенная регрессия'!$B$124*(1/'Взвешенная регрессия'!$B$115+(B99-'Взвешенная регрессия'!$B$128)^2/'Взвешенная регрессия'!$B$118)))</f>
        <v/>
      </c>
      <c r="H99" s="6">
        <f>IF(G99="","",SQRT(G99))</f>
        <v/>
      </c>
      <c r="I99" s="6">
        <f>IF(B99="","",SQRT(IF('Ввод'!$B$6=1,'Регрессия'!$B$6,'Взвешенная регрессия'!$B$124)+G99))</f>
        <v/>
      </c>
      <c r="J99" s="6">
        <f>IF(B99="","",SQRT(N(D99)^2+I99^2+(B99*'Ввод'!$B$5)^2))</f>
        <v/>
      </c>
      <c r="K99" s="6">
        <f>IF(B99="","",SQRT(IF('Ввод'!$B$6=1,'Регрессия'!$B$6*(1/E99+1/'Регрессия'!$B$2+(B99-'Регрессия'!$B$3)^2/'Регрессия'!$B$5)+'Регрессия'!$B$10+(B99-'Регрессия'!$B$3)^2*'Регрессия'!$B$9+2*(B99-'Регрессия'!$B$3)*'Регрессия'!$B$11,'Взвешенная регрессия'!$B$124*(1/E99+1/COUNTIFS('Взвешенная регрессия'!$A$11:$A$110,"&gt;=0"))+(B99-'Взвешенная регрессия'!$B$128)^2*'Взвешенная регрессия'!$B$125+'Взвешенная регрессия'!$B$126+2*(B99-'Взвешенная регрессия'!$B$128)*'Взвешенная регрессия'!$B$127)/IF('Ввод'!$B$6=1,'Регрессия'!$B$7,'Взвешенная регрессия'!$B$120)^2+(B99*'Ввод'!$B$5)^2))</f>
        <v/>
      </c>
      <c r="L99" s="6">
        <f>IF(K99="","",2*K99)</f>
        <v/>
      </c>
    </row>
    <row r="100">
      <c r="A100" s="6">
        <f>IF('Ввод'!B104="","",ROW()-4)</f>
        <v/>
      </c>
      <c r="B100" s="6">
        <f>IF('Ввод'!B104="","",'Ввод'!B104)</f>
        <v/>
      </c>
      <c r="C100" s="6">
        <f>IF('Ввод'!J104="","",'Ввод'!J104)</f>
        <v/>
      </c>
      <c r="D100" s="6">
        <f>IF(C100="","",C100/SQRT(E100))</f>
        <v/>
      </c>
      <c r="E100" s="6">
        <f>IF(B100="","",COUNT('Ввод'!C104:E104))</f>
        <v/>
      </c>
      <c r="F100" s="6">
        <f>IF(B100="","",IF('Ввод'!$B$6=1,'Регрессия'!$B$7,'Взвешенная регрессия'!$B$120)*B100+IF('Ввод'!$B$6=1,'Регрессия'!$B$8,'Взвешенная регрессия'!$B$121))</f>
        <v/>
      </c>
      <c r="G100" s="6">
        <f>IF(B100="","",IF('Ввод'!$B$6=1,'Регрессия'!$B$6*(1/'Регрессия'!$B$2+(B100-'Регрессия'!$B$3)^2/'Регрессия'!$B$5),'Взвешенная регрессия'!$B$124*(1/'Взвешенная регрессия'!$B$115+(B100-'Взвешенная регрессия'!$B$128)^2/'Взвешенная регрессия'!$B$118)))</f>
        <v/>
      </c>
      <c r="H100" s="6">
        <f>IF(G100="","",SQRT(G100))</f>
        <v/>
      </c>
      <c r="I100" s="6">
        <f>IF(B100="","",SQRT(IF('Ввод'!$B$6=1,'Регрессия'!$B$6,'Взвешенная регрессия'!$B$124)+G100))</f>
        <v/>
      </c>
      <c r="J100" s="6">
        <f>IF(B100="","",SQRT(N(D100)^2+I100^2+(B100*'Ввод'!$B$5)^2))</f>
        <v/>
      </c>
      <c r="K100" s="6">
        <f>IF(B100="","",SQRT(IF('Ввод'!$B$6=1,'Регрессия'!$B$6*(1/E100+1/'Регрессия'!$B$2+(B100-'Регрессия'!$B$3)^2/'Регрессия'!$B$5)+'Регрессия'!$B$10+(B100-'Регрессия'!$B$3)^2*'Регрессия'!$B$9+2*(B100-'Регрессия'!$B$3)*'Регрессия'!$B$11,'Взвешенная регрессия'!$B$124*(1/E100+1/COUNTIFS('Взвешенная регрессия'!$A$11:$A$110,"&gt;=0"))+(B100-'Взвешенная регрессия'!$B$128)^2*'Взвешенная регрессия'!$B$125+'Взвешенная регрессия'!$B$126+2*(B100-'Взвешенная регрессия'!$B$128)*'Взвешенная регрессия'!$B$127)/IF('Ввод'!$B$6=1,'Регрессия'!$B$7,'Взвешенная регрессия'!$B$120)^2+(B100*'Ввод'!$B$5)^2))</f>
        <v/>
      </c>
      <c r="L100" s="6">
        <f>IF(K100="","",2*K100)</f>
        <v/>
      </c>
    </row>
    <row r="101">
      <c r="A101" s="6">
        <f>IF('Ввод'!B105="","",ROW()-4)</f>
        <v/>
      </c>
      <c r="B101" s="6">
        <f>IF('Ввод'!B105="","",'Ввод'!B105)</f>
        <v/>
      </c>
      <c r="C101" s="6">
        <f>IF('Ввод'!J105="","",'Ввод'!J105)</f>
        <v/>
      </c>
      <c r="D101" s="6">
        <f>IF(C101="","",C101/SQRT(E101))</f>
        <v/>
      </c>
      <c r="E101" s="6">
        <f>IF(B101="","",COUNT('Ввод'!C105:E105))</f>
        <v/>
      </c>
      <c r="F101" s="6">
        <f>IF(B101="","",IF('Ввод'!$B$6=1,'Регрессия'!$B$7,'Взвешенная регрессия'!$B$120)*B101+IF('Ввод'!$B$6=1,'Регрессия'!$B$8,'Взвешенная регрессия'!$B$121))</f>
        <v/>
      </c>
      <c r="G101" s="6">
        <f>IF(B101="","",IF('Ввод'!$B$6=1,'Регрессия'!$B$6*(1/'Регрессия'!$B$2+(B101-'Регрессия'!$B$3)^2/'Регрессия'!$B$5),'Взвешенная регрессия'!$B$124*(1/'Взвешенная регрессия'!$B$115+(B101-'Взвешенная регрессия'!$B$128)^2/'Взвешенная регрессия'!$B$118)))</f>
        <v/>
      </c>
      <c r="H101" s="6">
        <f>IF(G101="","",SQRT(G101))</f>
        <v/>
      </c>
      <c r="I101" s="6">
        <f>IF(B101="","",SQRT(IF('Ввод'!$B$6=1,'Регрессия'!$B$6,'Взвешенная регрессия'!$B$124)+G101))</f>
        <v/>
      </c>
      <c r="J101" s="6">
        <f>IF(B101="","",SQRT(N(D101)^2+I101^2+(B101*'Ввод'!$B$5)^2))</f>
        <v/>
      </c>
      <c r="K101" s="6">
        <f>IF(B101="","",SQRT(IF('Ввод'!$B$6=1,'Регрессия'!$B$6*(1/E101+1/'Регрессия'!$B$2+(B101-'Регрессия'!$B$3)^2/'Регрессия'!$B$5)+'Регрессия'!$B$10+(B101-'Регрессия'!$B$3)^2*'Регрессия'!$B$9+2*(B101-'Регрессия'!$B$3)*'Регрессия'!$B$11,'Взвешенная регрессия'!$B$124*(1/E101+1/COUNTIFS('Взвешенная регрессия'!$A$11:$A$110,"&gt;=0"))+(B101-'Взвешенная регрессия'!$B$128)^2*'Взвешенная регрессия'!$B$125+'Взвешенная регрессия'!$B$126+2*(B101-'Взвешенная регрессия'!$B$128)*'Взвешенная регрессия'!$B$127)/IF('Ввод'!$B$6=1,'Регрессия'!$B$7,'Взвешенная регрессия'!$B$120)^2+(B101*'Ввод'!$B$5)^2))</f>
        <v/>
      </c>
      <c r="L101" s="6">
        <f>IF(K101="","",2*K101)</f>
        <v/>
      </c>
    </row>
    <row r="102">
      <c r="A102" s="6">
        <f>IF('Ввод'!B106="","",ROW()-4)</f>
        <v/>
      </c>
      <c r="B102" s="6">
        <f>IF('Ввод'!B106="","",'Ввод'!B106)</f>
        <v/>
      </c>
      <c r="C102" s="6">
        <f>IF('Ввод'!J106="","",'Ввод'!J106)</f>
        <v/>
      </c>
      <c r="D102" s="6">
        <f>IF(C102="","",C102/SQRT(E102))</f>
        <v/>
      </c>
      <c r="E102" s="6">
        <f>IF(B102="","",COUNT('Ввод'!C106:E106))</f>
        <v/>
      </c>
      <c r="F102" s="6">
        <f>IF(B102="","",IF('Ввод'!$B$6=1,'Регрессия'!$B$7,'Взвешенная регрессия'!$B$120)*B102+IF('Ввод'!$B$6=1,'Регрессия'!$B$8,'Взвешенная регрессия'!$B$121))</f>
        <v/>
      </c>
      <c r="G102" s="6">
        <f>IF(B102="","",IF('Ввод'!$B$6=1,'Регрессия'!$B$6*(1/'Регрессия'!$B$2+(B102-'Регрессия'!$B$3)^2/'Регрессия'!$B$5),'Взвешенная регрессия'!$B$124*(1/'Взвешенная регрессия'!$B$115+(B102-'Взвешенная регрессия'!$B$128)^2/'Взвешенная регрессия'!$B$118)))</f>
        <v/>
      </c>
      <c r="H102" s="6">
        <f>IF(G102="","",SQRT(G102))</f>
        <v/>
      </c>
      <c r="I102" s="6">
        <f>IF(B102="","",SQRT(IF('Ввод'!$B$6=1,'Регрессия'!$B$6,'Взвешенная регрессия'!$B$124)+G102))</f>
        <v/>
      </c>
      <c r="J102" s="6">
        <f>IF(B102="","",SQRT(N(D102)^2+I102^2+(B102*'Ввод'!$B$5)^2))</f>
        <v/>
      </c>
      <c r="K102" s="6">
        <f>IF(B102="","",SQRT(IF('Ввод'!$B$6=1,'Регрессия'!$B$6*(1/E102+1/'Регрессия'!$B$2+(B102-'Регрессия'!$B$3)^2/'Регрессия'!$B$5)+'Регрессия'!$B$10+(B102-'Регрессия'!$B$3)^2*'Регрессия'!$B$9+2*(B102-'Регрессия'!$B$3)*'Регрессия'!$B$11,'Взвешенная регрессия'!$B$124*(1/E102+1/COUNTIFS('Взвешенная регрессия'!$A$11:$A$110,"&gt;=0"))+(B102-'Взвешенная регрессия'!$B$128)^2*'Взвешенная регрессия'!$B$125+'Взвешенная регрессия'!$B$126+2*(B102-'Взвешенная регрессия'!$B$128)*'Взвешенная регрессия'!$B$127)/IF('Ввод'!$B$6=1,'Регрессия'!$B$7,'Взвешенная регрессия'!$B$120)^2+(B102*'Ввод'!$B$5)^2))</f>
        <v/>
      </c>
      <c r="L102" s="6">
        <f>IF(K102="","",2*K102)</f>
        <v/>
      </c>
    </row>
    <row r="103">
      <c r="A103" s="6">
        <f>IF('Ввод'!B107="","",ROW()-4)</f>
        <v/>
      </c>
      <c r="B103" s="6">
        <f>IF('Ввод'!B107="","",'Ввод'!B107)</f>
        <v/>
      </c>
      <c r="C103" s="6">
        <f>IF('Ввод'!J107="","",'Ввод'!J107)</f>
        <v/>
      </c>
      <c r="D103" s="6">
        <f>IF(C103="","",C103/SQRT(E103))</f>
        <v/>
      </c>
      <c r="E103" s="6">
        <f>IF(B103="","",COUNT('Ввод'!C107:E107))</f>
        <v/>
      </c>
      <c r="F103" s="6">
        <f>IF(B103="","",IF('Ввод'!$B$6=1,'Регрессия'!$B$7,'Взвешенная регрессия'!$B$120)*B103+IF('Ввод'!$B$6=1,'Регрессия'!$B$8,'Взвешенная регрессия'!$B$121))</f>
        <v/>
      </c>
      <c r="G103" s="6">
        <f>IF(B103="","",IF('Ввод'!$B$6=1,'Регрессия'!$B$6*(1/'Регрессия'!$B$2+(B103-'Регрессия'!$B$3)^2/'Регрессия'!$B$5),'Взвешенная регрессия'!$B$124*(1/'Взвешенная регрессия'!$B$115+(B103-'Взвешенная регрессия'!$B$128)^2/'Взвешенная регрессия'!$B$118)))</f>
        <v/>
      </c>
      <c r="H103" s="6">
        <f>IF(G103="","",SQRT(G103))</f>
        <v/>
      </c>
      <c r="I103" s="6">
        <f>IF(B103="","",SQRT(IF('Ввод'!$B$6=1,'Регрессия'!$B$6,'Взвешенная регрессия'!$B$124)+G103))</f>
        <v/>
      </c>
      <c r="J103" s="6">
        <f>IF(B103="","",SQRT(N(D103)^2+I103^2+(B103*'Ввод'!$B$5)^2))</f>
        <v/>
      </c>
      <c r="K103" s="6">
        <f>IF(B103="","",SQRT(IF('Ввод'!$B$6=1,'Регрессия'!$B$6*(1/E103+1/'Регрессия'!$B$2+(B103-'Регрессия'!$B$3)^2/'Регрессия'!$B$5)+'Регрессия'!$B$10+(B103-'Регрессия'!$B$3)^2*'Регрессия'!$B$9+2*(B103-'Регрессия'!$B$3)*'Регрессия'!$B$11,'Взвешенная регрессия'!$B$124*(1/E103+1/COUNTIFS('Взвешенная регрессия'!$A$11:$A$110,"&gt;=0"))+(B103-'Взвешенная регрессия'!$B$128)^2*'Взвешенная регрессия'!$B$125+'Взвешенная регрессия'!$B$126+2*(B103-'Взвешенная регрессия'!$B$128)*'Взвешенная регрессия'!$B$127)/IF('Ввод'!$B$6=1,'Регрессия'!$B$7,'Взвешенная регрессия'!$B$120)^2+(B103*'Ввод'!$B$5)^2))</f>
        <v/>
      </c>
      <c r="L103" s="6">
        <f>IF(K103="","",2*K103)</f>
        <v/>
      </c>
    </row>
    <row r="104">
      <c r="A104" s="6">
        <f>IF('Ввод'!B108="","",ROW()-4)</f>
        <v/>
      </c>
      <c r="B104" s="6">
        <f>IF('Ввод'!B108="","",'Ввод'!B108)</f>
        <v/>
      </c>
      <c r="C104" s="6">
        <f>IF('Ввод'!J108="","",'Ввод'!J108)</f>
        <v/>
      </c>
      <c r="D104" s="6">
        <f>IF(C104="","",C104/SQRT(E104))</f>
        <v/>
      </c>
      <c r="E104" s="6">
        <f>IF(B104="","",COUNT('Ввод'!C108:E108))</f>
        <v/>
      </c>
      <c r="F104" s="6">
        <f>IF(B104="","",IF('Ввод'!$B$6=1,'Регрессия'!$B$7,'Взвешенная регрессия'!$B$120)*B104+IF('Ввод'!$B$6=1,'Регрессия'!$B$8,'Взвешенная регрессия'!$B$121))</f>
        <v/>
      </c>
      <c r="G104" s="6">
        <f>IF(B104="","",IF('Ввод'!$B$6=1,'Регрессия'!$B$6*(1/'Регрессия'!$B$2+(B104-'Регрессия'!$B$3)^2/'Регрессия'!$B$5),'Взвешенная регрессия'!$B$124*(1/'Взвешенная регрессия'!$B$115+(B104-'Взвешенная регрессия'!$B$128)^2/'Взвешенная регрессия'!$B$118)))</f>
        <v/>
      </c>
      <c r="H104" s="6">
        <f>IF(G104="","",SQRT(G104))</f>
        <v/>
      </c>
      <c r="I104" s="6">
        <f>IF(B104="","",SQRT(IF('Ввод'!$B$6=1,'Регрессия'!$B$6,'Взвешенная регрессия'!$B$124)+G104))</f>
        <v/>
      </c>
      <c r="J104" s="6">
        <f>IF(B104="","",SQRT(N(D104)^2+I104^2+(B104*'Ввод'!$B$5)^2))</f>
        <v/>
      </c>
      <c r="K104" s="6">
        <f>IF(B104="","",SQRT(IF('Ввод'!$B$6=1,'Регрессия'!$B$6*(1/E104+1/'Регрессия'!$B$2+(B104-'Регрессия'!$B$3)^2/'Регрессия'!$B$5)+'Регрессия'!$B$10+(B104-'Регрессия'!$B$3)^2*'Регрессия'!$B$9+2*(B104-'Регрессия'!$B$3)*'Регрессия'!$B$11,'Взвешенная регрессия'!$B$124*(1/E104+1/COUNTIFS('Взвешенная регрессия'!$A$11:$A$110,"&gt;=0"))+(B104-'Взвешенная регрессия'!$B$128)^2*'Взвешенная регрессия'!$B$125+'Взвешенная регрессия'!$B$126+2*(B104-'Взвешенная регрессия'!$B$128)*'Взвешенная регрессия'!$B$127)/IF('Ввод'!$B$6=1,'Регрессия'!$B$7,'Взвешенная регрессия'!$B$120)^2+(B104*'Ввод'!$B$5)^2))</f>
        <v/>
      </c>
      <c r="L104" s="6">
        <f>IF(K104="","",2*K104)</f>
        <v/>
      </c>
    </row>
  </sheetData>
  <conditionalFormatting sqref="L5:L104">
    <cfRule type="colorScale" priority="1">
      <colorScale>
        <cfvo type="min"/>
        <cfvo type="max"/>
        <color rgb="00C6EFCE"/>
        <color rgb="00FFC7CE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ПРОФИЛЬ РАСШИРЕННОЙ НЕОПРЕДЕЛЁННОСТИ U(x) ПО ДИАПАЗОНУ</t>
        </is>
      </c>
      <c r="B1" s="2" t="n"/>
      <c r="C1" s="2" t="n"/>
      <c r="D1" s="2" t="n"/>
      <c r="E1" s="2" t="n"/>
      <c r="F1" s="2" t="n"/>
      <c r="G1" s="2" t="n"/>
    </row>
    <row r="2">
      <c r="A2" s="2" t="inlineStr">
        <is>
          <t>Шаг сетки:</t>
        </is>
      </c>
      <c r="B2" s="6">
        <f>(MAX('Ввод'!B9:B108)-MIN('Ввод'!B9:B108))/199</f>
        <v/>
      </c>
      <c r="C2" s="2" t="n"/>
      <c r="D2" s="2" t="n"/>
      <c r="E2" s="2" t="n"/>
      <c r="F2" s="2" t="n"/>
      <c r="G2" s="2" t="n"/>
    </row>
    <row r="3">
      <c r="A3" s="5" t="inlineStr">
        <is>
          <t>x</t>
        </is>
      </c>
      <c r="B3" s="5" t="inlineStr">
        <is>
          <t>dx = x − (x̄_act + b0_act/b1_act)</t>
        </is>
      </c>
      <c r="C3" s="5" t="inlineStr">
        <is>
          <t>u²(x) модель</t>
        </is>
      </c>
      <c r="D3" s="5" t="inlineStr">
        <is>
          <t>u(x) модель</t>
        </is>
      </c>
      <c r="E3" s="5" t="inlineStr">
        <is>
          <t>u_c(x) с учётом эталонов</t>
        </is>
      </c>
      <c r="F3" s="5" t="inlineStr">
        <is>
          <t>U(x) k=2</t>
        </is>
      </c>
      <c r="G3" s="5" t="inlineStr">
        <is>
          <t>это x_pred?</t>
        </is>
      </c>
    </row>
    <row r="4">
      <c r="A4" s="6">
        <f>MIN('Ввод'!$B$9:$B$108)+(ROW()-4)*$B$2</f>
        <v/>
      </c>
      <c r="B4" s="6">
        <f>IF('Ввод'!$B$6=1,A4-'Регрессия'!$B$3,A4-'Взвешенная регрессия'!$B$128+'Взвешенная регрессия'!$B$121/'Взвешенная регрессия'!$B$120)</f>
        <v/>
      </c>
      <c r="C4" s="6">
        <f>IF('Ввод'!$B$6=1,'Регрессия'!$B$6*(1/'Ввод'!$B$4+1/'Регрессия'!$B$2+B4^2/'Регрессия'!$B$5)+'Регрессия'!$B$10+B4^2*'Регрессия'!$B$9+2*B4*'Регрессия'!$B$11,'Взвешенная регрессия'!$B$124*(1/'Ввод'!$B$4+1/COUNTIFS('Взвешенная регрессия'!$A$11:$A$110,"&gt;=0"))+B4^2*'Взвешенная регрессия'!$B$125+'Взвешенная регрессия'!$B$126+2*B4*'Взвешенная регрессия'!$B$127)/IF('Ввод'!$B$6=1,'Регрессия'!$B$7,'Взвешенная регрессия'!$B$120)^2</f>
        <v/>
      </c>
      <c r="D4" s="6">
        <f>IF(C4&lt;0,NA(),SQRT(C4))</f>
        <v/>
      </c>
      <c r="E4" s="6">
        <f>SQRT(D4^2+(A4*'Ввод'!$B$5)^2)</f>
        <v/>
      </c>
      <c r="F4" s="6">
        <f>2*E4</f>
        <v/>
      </c>
      <c r="G4" s="6">
        <f>IF(ABS(A4-'Неопределенность'!$B$1)&lt;=$B$2/2,"← x_pred","")</f>
        <v/>
      </c>
    </row>
    <row r="5">
      <c r="A5" s="6">
        <f>MIN('Ввод'!$B$9:$B$108)+(ROW()-4)*$B$2</f>
        <v/>
      </c>
      <c r="B5" s="6">
        <f>IF('Ввод'!$B$6=1,A5-'Регрессия'!$B$3,A5-'Взвешенная регрессия'!$B$128+'Взвешенная регрессия'!$B$121/'Взвешенная регрессия'!$B$120)</f>
        <v/>
      </c>
      <c r="C5" s="6">
        <f>IF('Ввод'!$B$6=1,'Регрессия'!$B$6*(1/'Ввод'!$B$4+1/'Регрессия'!$B$2+B5^2/'Регрессия'!$B$5)+'Регрессия'!$B$10+B5^2*'Регрессия'!$B$9+2*B5*'Регрессия'!$B$11,'Взвешенная регрессия'!$B$124*(1/'Ввод'!$B$4+1/COUNTIFS('Взвешенная регрессия'!$A$11:$A$110,"&gt;=0"))+B5^2*'Взвешенная регрессия'!$B$125+'Взвешенная регрессия'!$B$126+2*B5*'Взвешенная регрессия'!$B$127)/IF('Ввод'!$B$6=1,'Регрессия'!$B$7,'Взвешенная регрессия'!$B$120)^2</f>
        <v/>
      </c>
      <c r="D5" s="6">
        <f>IF(C5&lt;0,NA(),SQRT(C5))</f>
        <v/>
      </c>
      <c r="E5" s="6">
        <f>SQRT(D5^2+(A5*'Ввод'!$B$5)^2)</f>
        <v/>
      </c>
      <c r="F5" s="6">
        <f>2*E5</f>
        <v/>
      </c>
      <c r="G5" s="6">
        <f>IF(ABS(A5-'Неопределенность'!$B$1)&lt;=$B$2/2,"← x_pred","")</f>
        <v/>
      </c>
    </row>
    <row r="6">
      <c r="A6" s="6">
        <f>MIN('Ввод'!$B$9:$B$108)+(ROW()-4)*$B$2</f>
        <v/>
      </c>
      <c r="B6" s="6">
        <f>IF('Ввод'!$B$6=1,A6-'Регрессия'!$B$3,A6-'Взвешенная регрессия'!$B$128+'Взвешенная регрессия'!$B$121/'Взвешенная регрессия'!$B$120)</f>
        <v/>
      </c>
      <c r="C6" s="6">
        <f>IF('Ввод'!$B$6=1,'Регрессия'!$B$6*(1/'Ввод'!$B$4+1/'Регрессия'!$B$2+B6^2/'Регрессия'!$B$5)+'Регрессия'!$B$10+B6^2*'Регрессия'!$B$9+2*B6*'Регрессия'!$B$11,'Взвешенная регрессия'!$B$124*(1/'Ввод'!$B$4+1/COUNTIFS('Взвешенная регрессия'!$A$11:$A$110,"&gt;=0"))+B6^2*'Взвешенная регрессия'!$B$125+'Взвешенная регрессия'!$B$126+2*B6*'Взвешенная регрессия'!$B$127)/IF('Ввод'!$B$6=1,'Регрессия'!$B$7,'Взвешенная регрессия'!$B$120)^2</f>
        <v/>
      </c>
      <c r="D6" s="6">
        <f>IF(C6&lt;0,NA(),SQRT(C6))</f>
        <v/>
      </c>
      <c r="E6" s="6">
        <f>SQRT(D6^2+(A6*'Ввод'!$B$5)^2)</f>
        <v/>
      </c>
      <c r="F6" s="6">
        <f>2*E6</f>
        <v/>
      </c>
      <c r="G6" s="6">
        <f>IF(ABS(A6-'Неопределенность'!$B$1)&lt;=$B$2/2,"← x_pred","")</f>
        <v/>
      </c>
    </row>
    <row r="7">
      <c r="A7" s="6">
        <f>MIN('Ввод'!$B$9:$B$108)+(ROW()-4)*$B$2</f>
        <v/>
      </c>
      <c r="B7" s="6">
        <f>IF('Ввод'!$B$6=1,A7-'Регрессия'!$B$3,A7-'Взвешенная регрессия'!$B$128+'Взвешенная регрессия'!$B$121/'Взвешенная регрессия'!$B$120)</f>
        <v/>
      </c>
      <c r="C7" s="6">
        <f>IF('Ввод'!$B$6=1,'Регрессия'!$B$6*(1/'Ввод'!$B$4+1/'Регрессия'!$B$2+B7^2/'Регрессия'!$B$5)+'Регрессия'!$B$10+B7^2*'Регрессия'!$B$9+2*B7*'Регрессия'!$B$11,'Взвешенная регрессия'!$B$124*(1/'Ввод'!$B$4+1/COUNTIFS('Взвешенная регрессия'!$A$11:$A$110,"&gt;=0"))+B7^2*'Взвешенная регрессия'!$B$125+'Взвешенная регрессия'!$B$126+2*B7*'Взвешенная регрессия'!$B$127)/IF('Ввод'!$B$6=1,'Регрессия'!$B$7,'Взвешенная регрессия'!$B$120)^2</f>
        <v/>
      </c>
      <c r="D7" s="6">
        <f>IF(C7&lt;0,NA(),SQRT(C7))</f>
        <v/>
      </c>
      <c r="E7" s="6">
        <f>SQRT(D7^2+(A7*'Ввод'!$B$5)^2)</f>
        <v/>
      </c>
      <c r="F7" s="6">
        <f>2*E7</f>
        <v/>
      </c>
      <c r="G7" s="6">
        <f>IF(ABS(A7-'Неопределенность'!$B$1)&lt;=$B$2/2,"← x_pred","")</f>
        <v/>
      </c>
    </row>
    <row r="8">
      <c r="A8" s="6">
        <f>MIN('Ввод'!$B$9:$B$108)+(ROW()-4)*$B$2</f>
        <v/>
      </c>
      <c r="B8" s="6">
        <f>IF('Ввод'!$B$6=1,A8-'Регрессия'!$B$3,A8-'Взвешенная регрессия'!$B$128+'Взвешенная регрессия'!$B$121/'Взвешенная регрессия'!$B$120)</f>
        <v/>
      </c>
      <c r="C8" s="6">
        <f>IF('Ввод'!$B$6=1,'Регрессия'!$B$6*(1/'Ввод'!$B$4+1/'Регрессия'!$B$2+B8^2/'Регрессия'!$B$5)+'Регрессия'!$B$10+B8^2*'Регрессия'!$B$9+2*B8*'Регрессия'!$B$11,'Взвешенная регрессия'!$B$124*(1/'Ввод'!$B$4+1/COUNTIFS('Взвешенная регрессия'!$A$11:$A$110,"&gt;=0"))+B8^2*'Взвешенная регрессия'!$B$125+'Взвешенная регрессия'!$B$126+2*B8*'Взвешенная регрессия'!$B$127)/IF('Ввод'!$B$6=1,'Регрессия'!$B$7,'Взвешенная регрессия'!$B$120)^2</f>
        <v/>
      </c>
      <c r="D8" s="6">
        <f>IF(C8&lt;0,NA(),SQRT(C8))</f>
        <v/>
      </c>
      <c r="E8" s="6">
        <f>SQRT(D8^2+(A8*'Ввод'!$B$5)^2)</f>
        <v/>
      </c>
      <c r="F8" s="6">
        <f>2*E8</f>
        <v/>
      </c>
      <c r="G8" s="6">
        <f>IF(ABS(A8-'Неопределенность'!$B$1)&lt;=$B$2/2,"← x_pred","")</f>
        <v/>
      </c>
    </row>
    <row r="9">
      <c r="A9" s="6">
        <f>MIN('Ввод'!$B$9:$B$108)+(ROW()-4)*$B$2</f>
        <v/>
      </c>
      <c r="B9" s="6">
        <f>IF('Ввод'!$B$6=1,A9-'Регрессия'!$B$3,A9-'Взвешенная регрессия'!$B$128+'Взвешенная регрессия'!$B$121/'Взвешенная регрессия'!$B$120)</f>
        <v/>
      </c>
      <c r="C9" s="6">
        <f>IF('Ввод'!$B$6=1,'Регрессия'!$B$6*(1/'Ввод'!$B$4+1/'Регрессия'!$B$2+B9^2/'Регрессия'!$B$5)+'Регрессия'!$B$10+B9^2*'Регрессия'!$B$9+2*B9*'Регрессия'!$B$11,'Взвешенная регрессия'!$B$124*(1/'Ввод'!$B$4+1/COUNTIFS('Взвешенная регрессия'!$A$11:$A$110,"&gt;=0"))+B9^2*'Взвешенная регрессия'!$B$125+'Взвешенная регрессия'!$B$126+2*B9*'Взвешенная регрессия'!$B$127)/IF('Ввод'!$B$6=1,'Регрессия'!$B$7,'Взвешенная регрессия'!$B$120)^2</f>
        <v/>
      </c>
      <c r="D9" s="6">
        <f>IF(C9&lt;0,NA(),SQRT(C9))</f>
        <v/>
      </c>
      <c r="E9" s="6">
        <f>SQRT(D9^2+(A9*'Ввод'!$B$5)^2)</f>
        <v/>
      </c>
      <c r="F9" s="6">
        <f>2*E9</f>
        <v/>
      </c>
      <c r="G9" s="6">
        <f>IF(ABS(A9-'Неопределенность'!$B$1)&lt;=$B$2/2,"← x_pred","")</f>
        <v/>
      </c>
    </row>
    <row r="10">
      <c r="A10" s="6">
        <f>MIN('Ввод'!$B$9:$B$108)+(ROW()-4)*$B$2</f>
        <v/>
      </c>
      <c r="B10" s="6">
        <f>IF('Ввод'!$B$6=1,A10-'Регрессия'!$B$3,A10-'Взвешенная регрессия'!$B$128+'Взвешенная регрессия'!$B$121/'Взвешенная регрессия'!$B$120)</f>
        <v/>
      </c>
      <c r="C10" s="6">
        <f>IF('Ввод'!$B$6=1,'Регрессия'!$B$6*(1/'Ввод'!$B$4+1/'Регрессия'!$B$2+B10^2/'Регрессия'!$B$5)+'Регрессия'!$B$10+B10^2*'Регрессия'!$B$9+2*B10*'Регрессия'!$B$11,'Взвешенная регрессия'!$B$124*(1/'Ввод'!$B$4+1/COUNTIFS('Взвешенная регрессия'!$A$11:$A$110,"&gt;=0"))+B10^2*'Взвешенная регрессия'!$B$125+'Взвешенная регрессия'!$B$126+2*B10*'Взвешенная регрессия'!$B$127)/IF('Ввод'!$B$6=1,'Регрессия'!$B$7,'Взвешенная регрессия'!$B$120)^2</f>
        <v/>
      </c>
      <c r="D10" s="6">
        <f>IF(C10&lt;0,NA(),SQRT(C10))</f>
        <v/>
      </c>
      <c r="E10" s="6">
        <f>SQRT(D10^2+(A10*'Ввод'!$B$5)^2)</f>
        <v/>
      </c>
      <c r="F10" s="6">
        <f>2*E10</f>
        <v/>
      </c>
      <c r="G10" s="6">
        <f>IF(ABS(A10-'Неопределенность'!$B$1)&lt;=$B$2/2,"← x_pred","")</f>
        <v/>
      </c>
    </row>
    <row r="11">
      <c r="A11" s="6">
        <f>MIN('Ввод'!$B$9:$B$108)+(ROW()-4)*$B$2</f>
        <v/>
      </c>
      <c r="B11" s="6">
        <f>IF('Ввод'!$B$6=1,A11-'Регрессия'!$B$3,A11-'Взвешенная регрессия'!$B$128+'Взвешенная регрессия'!$B$121/'Взвешенная регрессия'!$B$120)</f>
        <v/>
      </c>
      <c r="C11" s="6">
        <f>IF('Ввод'!$B$6=1,'Регрессия'!$B$6*(1/'Ввод'!$B$4+1/'Регрессия'!$B$2+B11^2/'Регрессия'!$B$5)+'Регрессия'!$B$10+B11^2*'Регрессия'!$B$9+2*B11*'Регрессия'!$B$11,'Взвешенная регрессия'!$B$124*(1/'Ввод'!$B$4+1/COUNTIFS('Взвешенная регрессия'!$A$11:$A$110,"&gt;=0"))+B11^2*'Взвешенная регрессия'!$B$125+'Взвешенная регрессия'!$B$126+2*B11*'Взвешенная регрессия'!$B$127)/IF('Ввод'!$B$6=1,'Регрессия'!$B$7,'Взвешенная регрессия'!$B$120)^2</f>
        <v/>
      </c>
      <c r="D11" s="6">
        <f>IF(C11&lt;0,NA(),SQRT(C11))</f>
        <v/>
      </c>
      <c r="E11" s="6">
        <f>SQRT(D11^2+(A11*'Ввод'!$B$5)^2)</f>
        <v/>
      </c>
      <c r="F11" s="6">
        <f>2*E11</f>
        <v/>
      </c>
      <c r="G11" s="6">
        <f>IF(ABS(A11-'Неопределенность'!$B$1)&lt;=$B$2/2,"← x_pred","")</f>
        <v/>
      </c>
    </row>
    <row r="12">
      <c r="A12" s="6">
        <f>MIN('Ввод'!$B$9:$B$108)+(ROW()-4)*$B$2</f>
        <v/>
      </c>
      <c r="B12" s="6">
        <f>IF('Ввод'!$B$6=1,A12-'Регрессия'!$B$3,A12-'Взвешенная регрессия'!$B$128+'Взвешенная регрессия'!$B$121/'Взвешенная регрессия'!$B$120)</f>
        <v/>
      </c>
      <c r="C12" s="6">
        <f>IF('Ввод'!$B$6=1,'Регрессия'!$B$6*(1/'Ввод'!$B$4+1/'Регрессия'!$B$2+B12^2/'Регрессия'!$B$5)+'Регрессия'!$B$10+B12^2*'Регрессия'!$B$9+2*B12*'Регрессия'!$B$11,'Взвешенная регрессия'!$B$124*(1/'Ввод'!$B$4+1/COUNTIFS('Взвешенная регрессия'!$A$11:$A$110,"&gt;=0"))+B12^2*'Взвешенная регрессия'!$B$125+'Взвешенная регрессия'!$B$126+2*B12*'Взвешенная регрессия'!$B$127)/IF('Ввод'!$B$6=1,'Регрессия'!$B$7,'Взвешенная регрессия'!$B$120)^2</f>
        <v/>
      </c>
      <c r="D12" s="6">
        <f>IF(C12&lt;0,NA(),SQRT(C12))</f>
        <v/>
      </c>
      <c r="E12" s="6">
        <f>SQRT(D12^2+(A12*'Ввод'!$B$5)^2)</f>
        <v/>
      </c>
      <c r="F12" s="6">
        <f>2*E12</f>
        <v/>
      </c>
      <c r="G12" s="6">
        <f>IF(ABS(A12-'Неопределенность'!$B$1)&lt;=$B$2/2,"← x_pred","")</f>
        <v/>
      </c>
    </row>
    <row r="13">
      <c r="A13" s="6">
        <f>MIN('Ввод'!$B$9:$B$108)+(ROW()-4)*$B$2</f>
        <v/>
      </c>
      <c r="B13" s="6">
        <f>IF('Ввод'!$B$6=1,A13-'Регрессия'!$B$3,A13-'Взвешенная регрессия'!$B$128+'Взвешенная регрессия'!$B$121/'Взвешенная регрессия'!$B$120)</f>
        <v/>
      </c>
      <c r="C13" s="6">
        <f>IF('Ввод'!$B$6=1,'Регрессия'!$B$6*(1/'Ввод'!$B$4+1/'Регрессия'!$B$2+B13^2/'Регрессия'!$B$5)+'Регрессия'!$B$10+B13^2*'Регрессия'!$B$9+2*B13*'Регрессия'!$B$11,'Взвешенная регрессия'!$B$124*(1/'Ввод'!$B$4+1/COUNTIFS('Взвешенная регрессия'!$A$11:$A$110,"&gt;=0"))+B13^2*'Взвешенная регрессия'!$B$125+'Взвешенная регрессия'!$B$126+2*B13*'Взвешенная регрессия'!$B$127)/IF('Ввод'!$B$6=1,'Регрессия'!$B$7,'Взвешенная регрессия'!$B$120)^2</f>
        <v/>
      </c>
      <c r="D13" s="6">
        <f>IF(C13&lt;0,NA(),SQRT(C13))</f>
        <v/>
      </c>
      <c r="E13" s="6">
        <f>SQRT(D13^2+(A13*'Ввод'!$B$5)^2)</f>
        <v/>
      </c>
      <c r="F13" s="6">
        <f>2*E13</f>
        <v/>
      </c>
      <c r="G13" s="6">
        <f>IF(ABS(A13-'Неопределенность'!$B$1)&lt;=$B$2/2,"← x_pred","")</f>
        <v/>
      </c>
    </row>
    <row r="14">
      <c r="A14" s="6">
        <f>MIN('Ввод'!$B$9:$B$108)+(ROW()-4)*$B$2</f>
        <v/>
      </c>
      <c r="B14" s="6">
        <f>IF('Ввод'!$B$6=1,A14-'Регрессия'!$B$3,A14-'Взвешенная регрессия'!$B$128+'Взвешенная регрессия'!$B$121/'Взвешенная регрессия'!$B$120)</f>
        <v/>
      </c>
      <c r="C14" s="6">
        <f>IF('Ввод'!$B$6=1,'Регрессия'!$B$6*(1/'Ввод'!$B$4+1/'Регрессия'!$B$2+B14^2/'Регрессия'!$B$5)+'Регрессия'!$B$10+B14^2*'Регрессия'!$B$9+2*B14*'Регрессия'!$B$11,'Взвешенная регрессия'!$B$124*(1/'Ввод'!$B$4+1/COUNTIFS('Взвешенная регрессия'!$A$11:$A$110,"&gt;=0"))+B14^2*'Взвешенная регрессия'!$B$125+'Взвешенная регрессия'!$B$126+2*B14*'Взвешенная регрессия'!$B$127)/IF('Ввод'!$B$6=1,'Регрессия'!$B$7,'Взвешенная регрессия'!$B$120)^2</f>
        <v/>
      </c>
      <c r="D14" s="6">
        <f>IF(C14&lt;0,NA(),SQRT(C14))</f>
        <v/>
      </c>
      <c r="E14" s="6">
        <f>SQRT(D14^2+(A14*'Ввод'!$B$5)^2)</f>
        <v/>
      </c>
      <c r="F14" s="6">
        <f>2*E14</f>
        <v/>
      </c>
      <c r="G14" s="6">
        <f>IF(ABS(A14-'Неопределенность'!$B$1)&lt;=$B$2/2,"← x_pred","")</f>
        <v/>
      </c>
    </row>
    <row r="15">
      <c r="A15" s="6">
        <f>MIN('Ввод'!$B$9:$B$108)+(ROW()-4)*$B$2</f>
        <v/>
      </c>
      <c r="B15" s="6">
        <f>IF('Ввод'!$B$6=1,A15-'Регрессия'!$B$3,A15-'Взвешенная регрессия'!$B$128+'Взвешенная регрессия'!$B$121/'Взвешенная регрессия'!$B$120)</f>
        <v/>
      </c>
      <c r="C15" s="6">
        <f>IF('Ввод'!$B$6=1,'Регрессия'!$B$6*(1/'Ввод'!$B$4+1/'Регрессия'!$B$2+B15^2/'Регрессия'!$B$5)+'Регрессия'!$B$10+B15^2*'Регрессия'!$B$9+2*B15*'Регрессия'!$B$11,'Взвешенная регрессия'!$B$124*(1/'Ввод'!$B$4+1/COUNTIFS('Взвешенная регрессия'!$A$11:$A$110,"&gt;=0"))+B15^2*'Взвешенная регрессия'!$B$125+'Взвешенная регрессия'!$B$126+2*B15*'Взвешенная регрессия'!$B$127)/IF('Ввод'!$B$6=1,'Регрессия'!$B$7,'Взвешенная регрессия'!$B$120)^2</f>
        <v/>
      </c>
      <c r="D15" s="6">
        <f>IF(C15&lt;0,NA(),SQRT(C15))</f>
        <v/>
      </c>
      <c r="E15" s="6">
        <f>SQRT(D15^2+(A15*'Ввод'!$B$5)^2)</f>
        <v/>
      </c>
      <c r="F15" s="6">
        <f>2*E15</f>
        <v/>
      </c>
      <c r="G15" s="6">
        <f>IF(ABS(A15-'Неопределенность'!$B$1)&lt;=$B$2/2,"← x_pred","")</f>
        <v/>
      </c>
    </row>
    <row r="16">
      <c r="A16" s="6">
        <f>MIN('Ввод'!$B$9:$B$108)+(ROW()-4)*$B$2</f>
        <v/>
      </c>
      <c r="B16" s="6">
        <f>IF('Ввод'!$B$6=1,A16-'Регрессия'!$B$3,A16-'Взвешенная регрессия'!$B$128+'Взвешенная регрессия'!$B$121/'Взвешенная регрессия'!$B$120)</f>
        <v/>
      </c>
      <c r="C16" s="6">
        <f>IF('Ввод'!$B$6=1,'Регрессия'!$B$6*(1/'Ввод'!$B$4+1/'Регрессия'!$B$2+B16^2/'Регрессия'!$B$5)+'Регрессия'!$B$10+B16^2*'Регрессия'!$B$9+2*B16*'Регрессия'!$B$11,'Взвешенная регрессия'!$B$124*(1/'Ввод'!$B$4+1/COUNTIFS('Взвешенная регрессия'!$A$11:$A$110,"&gt;=0"))+B16^2*'Взвешенная регрессия'!$B$125+'Взвешенная регрессия'!$B$126+2*B16*'Взвешенная регрессия'!$B$127)/IF('Ввод'!$B$6=1,'Регрессия'!$B$7,'Взвешенная регрессия'!$B$120)^2</f>
        <v/>
      </c>
      <c r="D16" s="6">
        <f>IF(C16&lt;0,NA(),SQRT(C16))</f>
        <v/>
      </c>
      <c r="E16" s="6">
        <f>SQRT(D16^2+(A16*'Ввод'!$B$5)^2)</f>
        <v/>
      </c>
      <c r="F16" s="6">
        <f>2*E16</f>
        <v/>
      </c>
      <c r="G16" s="6">
        <f>IF(ABS(A16-'Неопределенность'!$B$1)&lt;=$B$2/2,"← x_pred","")</f>
        <v/>
      </c>
    </row>
    <row r="17">
      <c r="A17" s="6">
        <f>MIN('Ввод'!$B$9:$B$108)+(ROW()-4)*$B$2</f>
        <v/>
      </c>
      <c r="B17" s="6">
        <f>IF('Ввод'!$B$6=1,A17-'Регрессия'!$B$3,A17-'Взвешенная регрессия'!$B$128+'Взвешенная регрессия'!$B$121/'Взвешенная регрессия'!$B$120)</f>
        <v/>
      </c>
      <c r="C17" s="6">
        <f>IF('Ввод'!$B$6=1,'Регрессия'!$B$6*(1/'Ввод'!$B$4+1/'Регрессия'!$B$2+B17^2/'Регрессия'!$B$5)+'Регрессия'!$B$10+B17^2*'Регрессия'!$B$9+2*B17*'Регрессия'!$B$11,'Взвешенная регрессия'!$B$124*(1/'Ввод'!$B$4+1/COUNTIFS('Взвешенная регрессия'!$A$11:$A$110,"&gt;=0"))+B17^2*'Взвешенная регрессия'!$B$125+'Взвешенная регрессия'!$B$126+2*B17*'Взвешенная регрессия'!$B$127)/IF('Ввод'!$B$6=1,'Регрессия'!$B$7,'Взвешенная регрессия'!$B$120)^2</f>
        <v/>
      </c>
      <c r="D17" s="6">
        <f>IF(C17&lt;0,NA(),SQRT(C17))</f>
        <v/>
      </c>
      <c r="E17" s="6">
        <f>SQRT(D17^2+(A17*'Ввод'!$B$5)^2)</f>
        <v/>
      </c>
      <c r="F17" s="6">
        <f>2*E17</f>
        <v/>
      </c>
      <c r="G17" s="6">
        <f>IF(ABS(A17-'Неопределенность'!$B$1)&lt;=$B$2/2,"← x_pred","")</f>
        <v/>
      </c>
    </row>
    <row r="18">
      <c r="A18" s="6">
        <f>MIN('Ввод'!$B$9:$B$108)+(ROW()-4)*$B$2</f>
        <v/>
      </c>
      <c r="B18" s="6">
        <f>IF('Ввод'!$B$6=1,A18-'Регрессия'!$B$3,A18-'Взвешенная регрессия'!$B$128+'Взвешенная регрессия'!$B$121/'Взвешенная регрессия'!$B$120)</f>
        <v/>
      </c>
      <c r="C18" s="6">
        <f>IF('Ввод'!$B$6=1,'Регрессия'!$B$6*(1/'Ввод'!$B$4+1/'Регрессия'!$B$2+B18^2/'Регрессия'!$B$5)+'Регрессия'!$B$10+B18^2*'Регрессия'!$B$9+2*B18*'Регрессия'!$B$11,'Взвешенная регрессия'!$B$124*(1/'Ввод'!$B$4+1/COUNTIFS('Взвешенная регрессия'!$A$11:$A$110,"&gt;=0"))+B18^2*'Взвешенная регрессия'!$B$125+'Взвешенная регрессия'!$B$126+2*B18*'Взвешенная регрессия'!$B$127)/IF('Ввод'!$B$6=1,'Регрессия'!$B$7,'Взвешенная регрессия'!$B$120)^2</f>
        <v/>
      </c>
      <c r="D18" s="6">
        <f>IF(C18&lt;0,NA(),SQRT(C18))</f>
        <v/>
      </c>
      <c r="E18" s="6">
        <f>SQRT(D18^2+(A18*'Ввод'!$B$5)^2)</f>
        <v/>
      </c>
      <c r="F18" s="6">
        <f>2*E18</f>
        <v/>
      </c>
      <c r="G18" s="6">
        <f>IF(ABS(A18-'Неопределенность'!$B$1)&lt;=$B$2/2,"← x_pred","")</f>
        <v/>
      </c>
    </row>
    <row r="19">
      <c r="A19" s="6">
        <f>MIN('Ввод'!$B$9:$B$108)+(ROW()-4)*$B$2</f>
        <v/>
      </c>
      <c r="B19" s="6">
        <f>IF('Ввод'!$B$6=1,A19-'Регрессия'!$B$3,A19-'Взвешенная регрессия'!$B$128+'Взвешенная регрессия'!$B$121/'Взвешенная регрессия'!$B$120)</f>
        <v/>
      </c>
      <c r="C19" s="6">
        <f>IF('Ввод'!$B$6=1,'Регрессия'!$B$6*(1/'Ввод'!$B$4+1/'Регрессия'!$B$2+B19^2/'Регрессия'!$B$5)+'Регрессия'!$B$10+B19^2*'Регрессия'!$B$9+2*B19*'Регрессия'!$B$11,'Взвешенная регрессия'!$B$124*(1/'Ввод'!$B$4+1/COUNTIFS('Взвешенная регрессия'!$A$11:$A$110,"&gt;=0"))+B19^2*'Взвешенная регрессия'!$B$125+'Взвешенная регрессия'!$B$126+2*B19*'Взвешенная регрессия'!$B$127)/IF('Ввод'!$B$6=1,'Регрессия'!$B$7,'Взвешенная регрессия'!$B$120)^2</f>
        <v/>
      </c>
      <c r="D19" s="6">
        <f>IF(C19&lt;0,NA(),SQRT(C19))</f>
        <v/>
      </c>
      <c r="E19" s="6">
        <f>SQRT(D19^2+(A19*'Ввод'!$B$5)^2)</f>
        <v/>
      </c>
      <c r="F19" s="6">
        <f>2*E19</f>
        <v/>
      </c>
      <c r="G19" s="6">
        <f>IF(ABS(A19-'Неопределенность'!$B$1)&lt;=$B$2/2,"← x_pred","")</f>
        <v/>
      </c>
    </row>
    <row r="20">
      <c r="A20" s="6">
        <f>MIN('Ввод'!$B$9:$B$108)+(ROW()-4)*$B$2</f>
        <v/>
      </c>
      <c r="B20" s="6">
        <f>IF('Ввод'!$B$6=1,A20-'Регрессия'!$B$3,A20-'Взвешенная регрессия'!$B$128+'Взвешенная регрессия'!$B$121/'Взвешенная регрессия'!$B$120)</f>
        <v/>
      </c>
      <c r="C20" s="6">
        <f>IF('Ввод'!$B$6=1,'Регрессия'!$B$6*(1/'Ввод'!$B$4+1/'Регрессия'!$B$2+B20^2/'Регрессия'!$B$5)+'Регрессия'!$B$10+B20^2*'Регрессия'!$B$9+2*B20*'Регрессия'!$B$11,'Взвешенная регрессия'!$B$124*(1/'Ввод'!$B$4+1/COUNTIFS('Взвешенная регрессия'!$A$11:$A$110,"&gt;=0"))+B20^2*'Взвешенная регрессия'!$B$125+'Взвешенная регрессия'!$B$126+2*B20*'Взвешенная регрессия'!$B$127)/IF('Ввод'!$B$6=1,'Регрессия'!$B$7,'Взвешенная регрессия'!$B$120)^2</f>
        <v/>
      </c>
      <c r="D20" s="6">
        <f>IF(C20&lt;0,NA(),SQRT(C20))</f>
        <v/>
      </c>
      <c r="E20" s="6">
        <f>SQRT(D20^2+(A20*'Ввод'!$B$5)^2)</f>
        <v/>
      </c>
      <c r="F20" s="6">
        <f>2*E20</f>
        <v/>
      </c>
      <c r="G20" s="6">
        <f>IF(ABS(A20-'Неопределенность'!$B$1)&lt;=$B$2/2,"← x_pred","")</f>
        <v/>
      </c>
    </row>
    <row r="21">
      <c r="A21" s="6">
        <f>MIN('Ввод'!$B$9:$B$108)+(ROW()-4)*$B$2</f>
        <v/>
      </c>
      <c r="B21" s="6">
        <f>IF('Ввод'!$B$6=1,A21-'Регрессия'!$B$3,A21-'Взвешенная регрессия'!$B$128+'Взвешенная регрессия'!$B$121/'Взвешенная регрессия'!$B$120)</f>
        <v/>
      </c>
      <c r="C21" s="6">
        <f>IF('Ввод'!$B$6=1,'Регрессия'!$B$6*(1/'Ввод'!$B$4+1/'Регрессия'!$B$2+B21^2/'Регрессия'!$B$5)+'Регрессия'!$B$10+B21^2*'Регрессия'!$B$9+2*B21*'Регрессия'!$B$11,'Взвешенная регрессия'!$B$124*(1/'Ввод'!$B$4+1/COUNTIFS('Взвешенная регрессия'!$A$11:$A$110,"&gt;=0"))+B21^2*'Взвешенная регрессия'!$B$125+'Взвешенная регрессия'!$B$126+2*B21*'Взвешенная регрессия'!$B$127)/IF('Ввод'!$B$6=1,'Регрессия'!$B$7,'Взвешенная регрессия'!$B$120)^2</f>
        <v/>
      </c>
      <c r="D21" s="6">
        <f>IF(C21&lt;0,NA(),SQRT(C21))</f>
        <v/>
      </c>
      <c r="E21" s="6">
        <f>SQRT(D21^2+(A21*'Ввод'!$B$5)^2)</f>
        <v/>
      </c>
      <c r="F21" s="6">
        <f>2*E21</f>
        <v/>
      </c>
      <c r="G21" s="6">
        <f>IF(ABS(A21-'Неопределенность'!$B$1)&lt;=$B$2/2,"← x_pred","")</f>
        <v/>
      </c>
    </row>
    <row r="22">
      <c r="A22" s="6">
        <f>MIN('Ввод'!$B$9:$B$108)+(ROW()-4)*$B$2</f>
        <v/>
      </c>
      <c r="B22" s="6">
        <f>IF('Ввод'!$B$6=1,A22-'Регрессия'!$B$3,A22-'Взвешенная регрессия'!$B$128+'Взвешенная регрессия'!$B$121/'Взвешенная регрессия'!$B$120)</f>
        <v/>
      </c>
      <c r="C22" s="6">
        <f>IF('Ввод'!$B$6=1,'Регрессия'!$B$6*(1/'Ввод'!$B$4+1/'Регрессия'!$B$2+B22^2/'Регрессия'!$B$5)+'Регрессия'!$B$10+B22^2*'Регрессия'!$B$9+2*B22*'Регрессия'!$B$11,'Взвешенная регрессия'!$B$124*(1/'Ввод'!$B$4+1/COUNTIFS('Взвешенная регрессия'!$A$11:$A$110,"&gt;=0"))+B22^2*'Взвешенная регрессия'!$B$125+'Взвешенная регрессия'!$B$126+2*B22*'Взвешенная регрессия'!$B$127)/IF('Ввод'!$B$6=1,'Регрессия'!$B$7,'Взвешенная регрессия'!$B$120)^2</f>
        <v/>
      </c>
      <c r="D22" s="6">
        <f>IF(C22&lt;0,NA(),SQRT(C22))</f>
        <v/>
      </c>
      <c r="E22" s="6">
        <f>SQRT(D22^2+(A22*'Ввод'!$B$5)^2)</f>
        <v/>
      </c>
      <c r="F22" s="6">
        <f>2*E22</f>
        <v/>
      </c>
      <c r="G22" s="6">
        <f>IF(ABS(A22-'Неопределенность'!$B$1)&lt;=$B$2/2,"← x_pred","")</f>
        <v/>
      </c>
    </row>
    <row r="23">
      <c r="A23" s="6">
        <f>MIN('Ввод'!$B$9:$B$108)+(ROW()-4)*$B$2</f>
        <v/>
      </c>
      <c r="B23" s="6">
        <f>IF('Ввод'!$B$6=1,A23-'Регрессия'!$B$3,A23-'Взвешенная регрессия'!$B$128+'Взвешенная регрессия'!$B$121/'Взвешенная регрессия'!$B$120)</f>
        <v/>
      </c>
      <c r="C23" s="6">
        <f>IF('Ввод'!$B$6=1,'Регрессия'!$B$6*(1/'Ввод'!$B$4+1/'Регрессия'!$B$2+B23^2/'Регрессия'!$B$5)+'Регрессия'!$B$10+B23^2*'Регрессия'!$B$9+2*B23*'Регрессия'!$B$11,'Взвешенная регрессия'!$B$124*(1/'Ввод'!$B$4+1/COUNTIFS('Взвешенная регрессия'!$A$11:$A$110,"&gt;=0"))+B23^2*'Взвешенная регрессия'!$B$125+'Взвешенная регрессия'!$B$126+2*B23*'Взвешенная регрессия'!$B$127)/IF('Ввод'!$B$6=1,'Регрессия'!$B$7,'Взвешенная регрессия'!$B$120)^2</f>
        <v/>
      </c>
      <c r="D23" s="6">
        <f>IF(C23&lt;0,NA(),SQRT(C23))</f>
        <v/>
      </c>
      <c r="E23" s="6">
        <f>SQRT(D23^2+(A23*'Ввод'!$B$5)^2)</f>
        <v/>
      </c>
      <c r="F23" s="6">
        <f>2*E23</f>
        <v/>
      </c>
      <c r="G23" s="6">
        <f>IF(ABS(A23-'Неопределенность'!$B$1)&lt;=$B$2/2,"← x_pred","")</f>
        <v/>
      </c>
    </row>
    <row r="24">
      <c r="A24" s="6">
        <f>MIN('Ввод'!$B$9:$B$108)+(ROW()-4)*$B$2</f>
        <v/>
      </c>
      <c r="B24" s="6">
        <f>IF('Ввод'!$B$6=1,A24-'Регрессия'!$B$3,A24-'Взвешенная регрессия'!$B$128+'Взвешенная регрессия'!$B$121/'Взвешенная регрессия'!$B$120)</f>
        <v/>
      </c>
      <c r="C24" s="6">
        <f>IF('Ввод'!$B$6=1,'Регрессия'!$B$6*(1/'Ввод'!$B$4+1/'Регрессия'!$B$2+B24^2/'Регрессия'!$B$5)+'Регрессия'!$B$10+B24^2*'Регрессия'!$B$9+2*B24*'Регрессия'!$B$11,'Взвешенная регрессия'!$B$124*(1/'Ввод'!$B$4+1/COUNTIFS('Взвешенная регрессия'!$A$11:$A$110,"&gt;=0"))+B24^2*'Взвешенная регрессия'!$B$125+'Взвешенная регрессия'!$B$126+2*B24*'Взвешенная регрессия'!$B$127)/IF('Ввод'!$B$6=1,'Регрессия'!$B$7,'Взвешенная регрессия'!$B$120)^2</f>
        <v/>
      </c>
      <c r="D24" s="6">
        <f>IF(C24&lt;0,NA(),SQRT(C24))</f>
        <v/>
      </c>
      <c r="E24" s="6">
        <f>SQRT(D24^2+(A24*'Ввод'!$B$5)^2)</f>
        <v/>
      </c>
      <c r="F24" s="6">
        <f>2*E24</f>
        <v/>
      </c>
      <c r="G24" s="6">
        <f>IF(ABS(A24-'Неопределенность'!$B$1)&lt;=$B$2/2,"← x_pred","")</f>
        <v/>
      </c>
    </row>
    <row r="25">
      <c r="A25" s="6">
        <f>MIN('Ввод'!$B$9:$B$108)+(ROW()-4)*$B$2</f>
        <v/>
      </c>
      <c r="B25" s="6">
        <f>IF('Ввод'!$B$6=1,A25-'Регрессия'!$B$3,A25-'Взвешенная регрессия'!$B$128+'Взвешенная регрессия'!$B$121/'Взвешенная регрессия'!$B$120)</f>
        <v/>
      </c>
      <c r="C25" s="6">
        <f>IF('Ввод'!$B$6=1,'Регрессия'!$B$6*(1/'Ввод'!$B$4+1/'Регрессия'!$B$2+B25^2/'Регрессия'!$B$5)+'Регрессия'!$B$10+B25^2*'Регрессия'!$B$9+2*B25*'Регрессия'!$B$11,'Взвешенная регрессия'!$B$124*(1/'Ввод'!$B$4+1/COUNTIFS('Взвешенная регрессия'!$A$11:$A$110,"&gt;=0"))+B25^2*'Взвешенная регрессия'!$B$125+'Взвешенная регрессия'!$B$126+2*B25*'Взвешенная регрессия'!$B$127)/IF('Ввод'!$B$6=1,'Регрессия'!$B$7,'Взвешенная регрессия'!$B$120)^2</f>
        <v/>
      </c>
      <c r="D25" s="6">
        <f>IF(C25&lt;0,NA(),SQRT(C25))</f>
        <v/>
      </c>
      <c r="E25" s="6">
        <f>SQRT(D25^2+(A25*'Ввод'!$B$5)^2)</f>
        <v/>
      </c>
      <c r="F25" s="6">
        <f>2*E25</f>
        <v/>
      </c>
      <c r="G25" s="6">
        <f>IF(ABS(A25-'Неопределенность'!$B$1)&lt;=$B$2/2,"← x_pred","")</f>
        <v/>
      </c>
    </row>
    <row r="26">
      <c r="A26" s="6">
        <f>MIN('Ввод'!$B$9:$B$108)+(ROW()-4)*$B$2</f>
        <v/>
      </c>
      <c r="B26" s="6">
        <f>IF('Ввод'!$B$6=1,A26-'Регрессия'!$B$3,A26-'Взвешенная регрессия'!$B$128+'Взвешенная регрессия'!$B$121/'Взвешенная регрессия'!$B$120)</f>
        <v/>
      </c>
      <c r="C26" s="6">
        <f>IF('Ввод'!$B$6=1,'Регрессия'!$B$6*(1/'Ввод'!$B$4+1/'Регрессия'!$B$2+B26^2/'Регрессия'!$B$5)+'Регрессия'!$B$10+B26^2*'Регрессия'!$B$9+2*B26*'Регрессия'!$B$11,'Взвешенная регрессия'!$B$124*(1/'Ввод'!$B$4+1/COUNTIFS('Взвешенная регрессия'!$A$11:$A$110,"&gt;=0"))+B26^2*'Взвешенная регрессия'!$B$125+'Взвешенная регрессия'!$B$126+2*B26*'Взвешенная регрессия'!$B$127)/IF('Ввод'!$B$6=1,'Регрессия'!$B$7,'Взвешенная регрессия'!$B$120)^2</f>
        <v/>
      </c>
      <c r="D26" s="6">
        <f>IF(C26&lt;0,NA(),SQRT(C26))</f>
        <v/>
      </c>
      <c r="E26" s="6">
        <f>SQRT(D26^2+(A26*'Ввод'!$B$5)^2)</f>
        <v/>
      </c>
      <c r="F26" s="6">
        <f>2*E26</f>
        <v/>
      </c>
      <c r="G26" s="6">
        <f>IF(ABS(A26-'Неопределенность'!$B$1)&lt;=$B$2/2,"← x_pred","")</f>
        <v/>
      </c>
    </row>
    <row r="27">
      <c r="A27" s="6">
        <f>MIN('Ввод'!$B$9:$B$108)+(ROW()-4)*$B$2</f>
        <v/>
      </c>
      <c r="B27" s="6">
        <f>IF('Ввод'!$B$6=1,A27-'Регрессия'!$B$3,A27-'Взвешенная регрессия'!$B$128+'Взвешенная регрессия'!$B$121/'Взвешенная регрессия'!$B$120)</f>
        <v/>
      </c>
      <c r="C27" s="6">
        <f>IF('Ввод'!$B$6=1,'Регрессия'!$B$6*(1/'Ввод'!$B$4+1/'Регрессия'!$B$2+B27^2/'Регрессия'!$B$5)+'Регрессия'!$B$10+B27^2*'Регрессия'!$B$9+2*B27*'Регрессия'!$B$11,'Взвешенная регрессия'!$B$124*(1/'Ввод'!$B$4+1/COUNTIFS('Взвешенная регрессия'!$A$11:$A$110,"&gt;=0"))+B27^2*'Взвешенная регрессия'!$B$125+'Взвешенная регрессия'!$B$126+2*B27*'Взвешенная регрессия'!$B$127)/IF('Ввод'!$B$6=1,'Регрессия'!$B$7,'Взвешенная регрессия'!$B$120)^2</f>
        <v/>
      </c>
      <c r="D27" s="6">
        <f>IF(C27&lt;0,NA(),SQRT(C27))</f>
        <v/>
      </c>
      <c r="E27" s="6">
        <f>SQRT(D27^2+(A27*'Ввод'!$B$5)^2)</f>
        <v/>
      </c>
      <c r="F27" s="6">
        <f>2*E27</f>
        <v/>
      </c>
      <c r="G27" s="6">
        <f>IF(ABS(A27-'Неопределенность'!$B$1)&lt;=$B$2/2,"← x_pred","")</f>
        <v/>
      </c>
    </row>
    <row r="28">
      <c r="A28" s="6">
        <f>MIN('Ввод'!$B$9:$B$108)+(ROW()-4)*$B$2</f>
        <v/>
      </c>
      <c r="B28" s="6">
        <f>IF('Ввод'!$B$6=1,A28-'Регрессия'!$B$3,A28-'Взвешенная регрессия'!$B$128+'Взвешенная регрессия'!$B$121/'Взвешенная регрессия'!$B$120)</f>
        <v/>
      </c>
      <c r="C28" s="6">
        <f>IF('Ввод'!$B$6=1,'Регрессия'!$B$6*(1/'Ввод'!$B$4+1/'Регрессия'!$B$2+B28^2/'Регрессия'!$B$5)+'Регрессия'!$B$10+B28^2*'Регрессия'!$B$9+2*B28*'Регрессия'!$B$11,'Взвешенная регрессия'!$B$124*(1/'Ввод'!$B$4+1/COUNTIFS('Взвешенная регрессия'!$A$11:$A$110,"&gt;=0"))+B28^2*'Взвешенная регрессия'!$B$125+'Взвешенная регрессия'!$B$126+2*B28*'Взвешенная регрессия'!$B$127)/IF('Ввод'!$B$6=1,'Регрессия'!$B$7,'Взвешенная регрессия'!$B$120)^2</f>
        <v/>
      </c>
      <c r="D28" s="6">
        <f>IF(C28&lt;0,NA(),SQRT(C28))</f>
        <v/>
      </c>
      <c r="E28" s="6">
        <f>SQRT(D28^2+(A28*'Ввод'!$B$5)^2)</f>
        <v/>
      </c>
      <c r="F28" s="6">
        <f>2*E28</f>
        <v/>
      </c>
      <c r="G28" s="6">
        <f>IF(ABS(A28-'Неопределенность'!$B$1)&lt;=$B$2/2,"← x_pred","")</f>
        <v/>
      </c>
    </row>
    <row r="29">
      <c r="A29" s="6">
        <f>MIN('Ввод'!$B$9:$B$108)+(ROW()-4)*$B$2</f>
        <v/>
      </c>
      <c r="B29" s="6">
        <f>IF('Ввод'!$B$6=1,A29-'Регрессия'!$B$3,A29-'Взвешенная регрессия'!$B$128+'Взвешенная регрессия'!$B$121/'Взвешенная регрессия'!$B$120)</f>
        <v/>
      </c>
      <c r="C29" s="6">
        <f>IF('Ввод'!$B$6=1,'Регрессия'!$B$6*(1/'Ввод'!$B$4+1/'Регрессия'!$B$2+B29^2/'Регрессия'!$B$5)+'Регрессия'!$B$10+B29^2*'Регрессия'!$B$9+2*B29*'Регрессия'!$B$11,'Взвешенная регрессия'!$B$124*(1/'Ввод'!$B$4+1/COUNTIFS('Взвешенная регрессия'!$A$11:$A$110,"&gt;=0"))+B29^2*'Взвешенная регрессия'!$B$125+'Взвешенная регрессия'!$B$126+2*B29*'Взвешенная регрессия'!$B$127)/IF('Ввод'!$B$6=1,'Регрессия'!$B$7,'Взвешенная регрессия'!$B$120)^2</f>
        <v/>
      </c>
      <c r="D29" s="6">
        <f>IF(C29&lt;0,NA(),SQRT(C29))</f>
        <v/>
      </c>
      <c r="E29" s="6">
        <f>SQRT(D29^2+(A29*'Ввод'!$B$5)^2)</f>
        <v/>
      </c>
      <c r="F29" s="6">
        <f>2*E29</f>
        <v/>
      </c>
      <c r="G29" s="6">
        <f>IF(ABS(A29-'Неопределенность'!$B$1)&lt;=$B$2/2,"← x_pred","")</f>
        <v/>
      </c>
    </row>
    <row r="30">
      <c r="A30" s="6">
        <f>MIN('Ввод'!$B$9:$B$108)+(ROW()-4)*$B$2</f>
        <v/>
      </c>
      <c r="B30" s="6">
        <f>IF('Ввод'!$B$6=1,A30-'Регрессия'!$B$3,A30-'Взвешенная регрессия'!$B$128+'Взвешенная регрессия'!$B$121/'Взвешенная регрессия'!$B$120)</f>
        <v/>
      </c>
      <c r="C30" s="6">
        <f>IF('Ввод'!$B$6=1,'Регрессия'!$B$6*(1/'Ввод'!$B$4+1/'Регрессия'!$B$2+B30^2/'Регрессия'!$B$5)+'Регрессия'!$B$10+B30^2*'Регрессия'!$B$9+2*B30*'Регрессия'!$B$11,'Взвешенная регрессия'!$B$124*(1/'Ввод'!$B$4+1/COUNTIFS('Взвешенная регрессия'!$A$11:$A$110,"&gt;=0"))+B30^2*'Взвешенная регрессия'!$B$125+'Взвешенная регрессия'!$B$126+2*B30*'Взвешенная регрессия'!$B$127)/IF('Ввод'!$B$6=1,'Регрессия'!$B$7,'Взвешенная регрессия'!$B$120)^2</f>
        <v/>
      </c>
      <c r="D30" s="6">
        <f>IF(C30&lt;0,NA(),SQRT(C30))</f>
        <v/>
      </c>
      <c r="E30" s="6">
        <f>SQRT(D30^2+(A30*'Ввод'!$B$5)^2)</f>
        <v/>
      </c>
      <c r="F30" s="6">
        <f>2*E30</f>
        <v/>
      </c>
      <c r="G30" s="6">
        <f>IF(ABS(A30-'Неопределенность'!$B$1)&lt;=$B$2/2,"← x_pred","")</f>
        <v/>
      </c>
    </row>
    <row r="31">
      <c r="A31" s="6">
        <f>MIN('Ввод'!$B$9:$B$108)+(ROW()-4)*$B$2</f>
        <v/>
      </c>
      <c r="B31" s="6">
        <f>IF('Ввод'!$B$6=1,A31-'Регрессия'!$B$3,A31-'Взвешенная регрессия'!$B$128+'Взвешенная регрессия'!$B$121/'Взвешенная регрессия'!$B$120)</f>
        <v/>
      </c>
      <c r="C31" s="6">
        <f>IF('Ввод'!$B$6=1,'Регрессия'!$B$6*(1/'Ввод'!$B$4+1/'Регрессия'!$B$2+B31^2/'Регрессия'!$B$5)+'Регрессия'!$B$10+B31^2*'Регрессия'!$B$9+2*B31*'Регрессия'!$B$11,'Взвешенная регрессия'!$B$124*(1/'Ввод'!$B$4+1/COUNTIFS('Взвешенная регрессия'!$A$11:$A$110,"&gt;=0"))+B31^2*'Взвешенная регрессия'!$B$125+'Взвешенная регрессия'!$B$126+2*B31*'Взвешенная регрессия'!$B$127)/IF('Ввод'!$B$6=1,'Регрессия'!$B$7,'Взвешенная регрессия'!$B$120)^2</f>
        <v/>
      </c>
      <c r="D31" s="6">
        <f>IF(C31&lt;0,NA(),SQRT(C31))</f>
        <v/>
      </c>
      <c r="E31" s="6">
        <f>SQRT(D31^2+(A31*'Ввод'!$B$5)^2)</f>
        <v/>
      </c>
      <c r="F31" s="6">
        <f>2*E31</f>
        <v/>
      </c>
      <c r="G31" s="6">
        <f>IF(ABS(A31-'Неопределенность'!$B$1)&lt;=$B$2/2,"← x_pred","")</f>
        <v/>
      </c>
    </row>
    <row r="32">
      <c r="A32" s="6">
        <f>MIN('Ввод'!$B$9:$B$108)+(ROW()-4)*$B$2</f>
        <v/>
      </c>
      <c r="B32" s="6">
        <f>IF('Ввод'!$B$6=1,A32-'Регрессия'!$B$3,A32-'Взвешенная регрессия'!$B$128+'Взвешенная регрессия'!$B$121/'Взвешенная регрессия'!$B$120)</f>
        <v/>
      </c>
      <c r="C32" s="6">
        <f>IF('Ввод'!$B$6=1,'Регрессия'!$B$6*(1/'Ввод'!$B$4+1/'Регрессия'!$B$2+B32^2/'Регрессия'!$B$5)+'Регрессия'!$B$10+B32^2*'Регрессия'!$B$9+2*B32*'Регрессия'!$B$11,'Взвешенная регрессия'!$B$124*(1/'Ввод'!$B$4+1/COUNTIFS('Взвешенная регрессия'!$A$11:$A$110,"&gt;=0"))+B32^2*'Взвешенная регрессия'!$B$125+'Взвешенная регрессия'!$B$126+2*B32*'Взвешенная регрессия'!$B$127)/IF('Ввод'!$B$6=1,'Регрессия'!$B$7,'Взвешенная регрессия'!$B$120)^2</f>
        <v/>
      </c>
      <c r="D32" s="6">
        <f>IF(C32&lt;0,NA(),SQRT(C32))</f>
        <v/>
      </c>
      <c r="E32" s="6">
        <f>SQRT(D32^2+(A32*'Ввод'!$B$5)^2)</f>
        <v/>
      </c>
      <c r="F32" s="6">
        <f>2*E32</f>
        <v/>
      </c>
      <c r="G32" s="6">
        <f>IF(ABS(A32-'Неопределенность'!$B$1)&lt;=$B$2/2,"← x_pred","")</f>
        <v/>
      </c>
    </row>
    <row r="33">
      <c r="A33" s="6">
        <f>MIN('Ввод'!$B$9:$B$108)+(ROW()-4)*$B$2</f>
        <v/>
      </c>
      <c r="B33" s="6">
        <f>IF('Ввод'!$B$6=1,A33-'Регрессия'!$B$3,A33-'Взвешенная регрессия'!$B$128+'Взвешенная регрессия'!$B$121/'Взвешенная регрессия'!$B$120)</f>
        <v/>
      </c>
      <c r="C33" s="6">
        <f>IF('Ввод'!$B$6=1,'Регрессия'!$B$6*(1/'Ввод'!$B$4+1/'Регрессия'!$B$2+B33^2/'Регрессия'!$B$5)+'Регрессия'!$B$10+B33^2*'Регрессия'!$B$9+2*B33*'Регрессия'!$B$11,'Взвешенная регрессия'!$B$124*(1/'Ввод'!$B$4+1/COUNTIFS('Взвешенная регрессия'!$A$11:$A$110,"&gt;=0"))+B33^2*'Взвешенная регрессия'!$B$125+'Взвешенная регрессия'!$B$126+2*B33*'Взвешенная регрессия'!$B$127)/IF('Ввод'!$B$6=1,'Регрессия'!$B$7,'Взвешенная регрессия'!$B$120)^2</f>
        <v/>
      </c>
      <c r="D33" s="6">
        <f>IF(C33&lt;0,NA(),SQRT(C33))</f>
        <v/>
      </c>
      <c r="E33" s="6">
        <f>SQRT(D33^2+(A33*'Ввод'!$B$5)^2)</f>
        <v/>
      </c>
      <c r="F33" s="6">
        <f>2*E33</f>
        <v/>
      </c>
      <c r="G33" s="6">
        <f>IF(ABS(A33-'Неопределенность'!$B$1)&lt;=$B$2/2,"← x_pred","")</f>
        <v/>
      </c>
    </row>
    <row r="34">
      <c r="A34" s="6">
        <f>MIN('Ввод'!$B$9:$B$108)+(ROW()-4)*$B$2</f>
        <v/>
      </c>
      <c r="B34" s="6">
        <f>IF('Ввод'!$B$6=1,A34-'Регрессия'!$B$3,A34-'Взвешенная регрессия'!$B$128+'Взвешенная регрессия'!$B$121/'Взвешенная регрессия'!$B$120)</f>
        <v/>
      </c>
      <c r="C34" s="6">
        <f>IF('Ввод'!$B$6=1,'Регрессия'!$B$6*(1/'Ввод'!$B$4+1/'Регрессия'!$B$2+B34^2/'Регрессия'!$B$5)+'Регрессия'!$B$10+B34^2*'Регрессия'!$B$9+2*B34*'Регрессия'!$B$11,'Взвешенная регрессия'!$B$124*(1/'Ввод'!$B$4+1/COUNTIFS('Взвешенная регрессия'!$A$11:$A$110,"&gt;=0"))+B34^2*'Взвешенная регрессия'!$B$125+'Взвешенная регрессия'!$B$126+2*B34*'Взвешенная регрессия'!$B$127)/IF('Ввод'!$B$6=1,'Регрессия'!$B$7,'Взвешенная регрессия'!$B$120)^2</f>
        <v/>
      </c>
      <c r="D34" s="6">
        <f>IF(C34&lt;0,NA(),SQRT(C34))</f>
        <v/>
      </c>
      <c r="E34" s="6">
        <f>SQRT(D34^2+(A34*'Ввод'!$B$5)^2)</f>
        <v/>
      </c>
      <c r="F34" s="6">
        <f>2*E34</f>
        <v/>
      </c>
      <c r="G34" s="6">
        <f>IF(ABS(A34-'Неопределенность'!$B$1)&lt;=$B$2/2,"← x_pred","")</f>
        <v/>
      </c>
    </row>
    <row r="35">
      <c r="A35" s="6">
        <f>MIN('Ввод'!$B$9:$B$108)+(ROW()-4)*$B$2</f>
        <v/>
      </c>
      <c r="B35" s="6">
        <f>IF('Ввод'!$B$6=1,A35-'Регрессия'!$B$3,A35-'Взвешенная регрессия'!$B$128+'Взвешенная регрессия'!$B$121/'Взвешенная регрессия'!$B$120)</f>
        <v/>
      </c>
      <c r="C35" s="6">
        <f>IF('Ввод'!$B$6=1,'Регрессия'!$B$6*(1/'Ввод'!$B$4+1/'Регрессия'!$B$2+B35^2/'Регрессия'!$B$5)+'Регрессия'!$B$10+B35^2*'Регрессия'!$B$9+2*B35*'Регрессия'!$B$11,'Взвешенная регрессия'!$B$124*(1/'Ввод'!$B$4+1/COUNTIFS('Взвешенная регрессия'!$A$11:$A$110,"&gt;=0"))+B35^2*'Взвешенная регрессия'!$B$125+'Взвешенная регрессия'!$B$126+2*B35*'Взвешенная регрессия'!$B$127)/IF('Ввод'!$B$6=1,'Регрессия'!$B$7,'Взвешенная регрессия'!$B$120)^2</f>
        <v/>
      </c>
      <c r="D35" s="6">
        <f>IF(C35&lt;0,NA(),SQRT(C35))</f>
        <v/>
      </c>
      <c r="E35" s="6">
        <f>SQRT(D35^2+(A35*'Ввод'!$B$5)^2)</f>
        <v/>
      </c>
      <c r="F35" s="6">
        <f>2*E35</f>
        <v/>
      </c>
      <c r="G35" s="6">
        <f>IF(ABS(A35-'Неопределенность'!$B$1)&lt;=$B$2/2,"← x_pred","")</f>
        <v/>
      </c>
    </row>
    <row r="36">
      <c r="A36" s="6">
        <f>MIN('Ввод'!$B$9:$B$108)+(ROW()-4)*$B$2</f>
        <v/>
      </c>
      <c r="B36" s="6">
        <f>IF('Ввод'!$B$6=1,A36-'Регрессия'!$B$3,A36-'Взвешенная регрессия'!$B$128+'Взвешенная регрессия'!$B$121/'Взвешенная регрессия'!$B$120)</f>
        <v/>
      </c>
      <c r="C36" s="6">
        <f>IF('Ввод'!$B$6=1,'Регрессия'!$B$6*(1/'Ввод'!$B$4+1/'Регрессия'!$B$2+B36^2/'Регрессия'!$B$5)+'Регрессия'!$B$10+B36^2*'Регрессия'!$B$9+2*B36*'Регрессия'!$B$11,'Взвешенная регрессия'!$B$124*(1/'Ввод'!$B$4+1/COUNTIFS('Взвешенная регрессия'!$A$11:$A$110,"&gt;=0"))+B36^2*'Взвешенная регрессия'!$B$125+'Взвешенная регрессия'!$B$126+2*B36*'Взвешенная регрессия'!$B$127)/IF('Ввод'!$B$6=1,'Регрессия'!$B$7,'Взвешенная регрессия'!$B$120)^2</f>
        <v/>
      </c>
      <c r="D36" s="6">
        <f>IF(C36&lt;0,NA(),SQRT(C36))</f>
        <v/>
      </c>
      <c r="E36" s="6">
        <f>SQRT(D36^2+(A36*'Ввод'!$B$5)^2)</f>
        <v/>
      </c>
      <c r="F36" s="6">
        <f>2*E36</f>
        <v/>
      </c>
      <c r="G36" s="6">
        <f>IF(ABS(A36-'Неопределенность'!$B$1)&lt;=$B$2/2,"← x_pred","")</f>
        <v/>
      </c>
    </row>
    <row r="37">
      <c r="A37" s="6">
        <f>MIN('Ввод'!$B$9:$B$108)+(ROW()-4)*$B$2</f>
        <v/>
      </c>
      <c r="B37" s="6">
        <f>IF('Ввод'!$B$6=1,A37-'Регрессия'!$B$3,A37-'Взвешенная регрессия'!$B$128+'Взвешенная регрессия'!$B$121/'Взвешенная регрессия'!$B$120)</f>
        <v/>
      </c>
      <c r="C37" s="6">
        <f>IF('Ввод'!$B$6=1,'Регрессия'!$B$6*(1/'Ввод'!$B$4+1/'Регрессия'!$B$2+B37^2/'Регрессия'!$B$5)+'Регрессия'!$B$10+B37^2*'Регрессия'!$B$9+2*B37*'Регрессия'!$B$11,'Взвешенная регрессия'!$B$124*(1/'Ввод'!$B$4+1/COUNTIFS('Взвешенная регрессия'!$A$11:$A$110,"&gt;=0"))+B37^2*'Взвешенная регрессия'!$B$125+'Взвешенная регрессия'!$B$126+2*B37*'Взвешенная регрессия'!$B$127)/IF('Ввод'!$B$6=1,'Регрессия'!$B$7,'Взвешенная регрессия'!$B$120)^2</f>
        <v/>
      </c>
      <c r="D37" s="6">
        <f>IF(C37&lt;0,NA(),SQRT(C37))</f>
        <v/>
      </c>
      <c r="E37" s="6">
        <f>SQRT(D37^2+(A37*'Ввод'!$B$5)^2)</f>
        <v/>
      </c>
      <c r="F37" s="6">
        <f>2*E37</f>
        <v/>
      </c>
      <c r="G37" s="6">
        <f>IF(ABS(A37-'Неопределенность'!$B$1)&lt;=$B$2/2,"← x_pred","")</f>
        <v/>
      </c>
    </row>
    <row r="38">
      <c r="A38" s="6">
        <f>MIN('Ввод'!$B$9:$B$108)+(ROW()-4)*$B$2</f>
        <v/>
      </c>
      <c r="B38" s="6">
        <f>IF('Ввод'!$B$6=1,A38-'Регрессия'!$B$3,A38-'Взвешенная регрессия'!$B$128+'Взвешенная регрессия'!$B$121/'Взвешенная регрессия'!$B$120)</f>
        <v/>
      </c>
      <c r="C38" s="6">
        <f>IF('Ввод'!$B$6=1,'Регрессия'!$B$6*(1/'Ввод'!$B$4+1/'Регрессия'!$B$2+B38^2/'Регрессия'!$B$5)+'Регрессия'!$B$10+B38^2*'Регрессия'!$B$9+2*B38*'Регрессия'!$B$11,'Взвешенная регрессия'!$B$124*(1/'Ввод'!$B$4+1/COUNTIFS('Взвешенная регрессия'!$A$11:$A$110,"&gt;=0"))+B38^2*'Взвешенная регрессия'!$B$125+'Взвешенная регрессия'!$B$126+2*B38*'Взвешенная регрессия'!$B$127)/IF('Ввод'!$B$6=1,'Регрессия'!$B$7,'Взвешенная регрессия'!$B$120)^2</f>
        <v/>
      </c>
      <c r="D38" s="6">
        <f>IF(C38&lt;0,NA(),SQRT(C38))</f>
        <v/>
      </c>
      <c r="E38" s="6">
        <f>SQRT(D38^2+(A38*'Ввод'!$B$5)^2)</f>
        <v/>
      </c>
      <c r="F38" s="6">
        <f>2*E38</f>
        <v/>
      </c>
      <c r="G38" s="6">
        <f>IF(ABS(A38-'Неопределенность'!$B$1)&lt;=$B$2/2,"← x_pred","")</f>
        <v/>
      </c>
    </row>
    <row r="39">
      <c r="A39" s="6">
        <f>MIN('Ввод'!$B$9:$B$108)+(ROW()-4)*$B$2</f>
        <v/>
      </c>
      <c r="B39" s="6">
        <f>IF('Ввод'!$B$6=1,A39-'Регрессия'!$B$3,A39-'Взвешенная регрессия'!$B$128+'Взвешенная регрессия'!$B$121/'Взвешенная регрессия'!$B$120)</f>
        <v/>
      </c>
      <c r="C39" s="6">
        <f>IF('Ввод'!$B$6=1,'Регрессия'!$B$6*(1/'Ввод'!$B$4+1/'Регрессия'!$B$2+B39^2/'Регрессия'!$B$5)+'Регрессия'!$B$10+B39^2*'Регрессия'!$B$9+2*B39*'Регрессия'!$B$11,'Взвешенная регрессия'!$B$124*(1/'Ввод'!$B$4+1/COUNTIFS('Взвешенная регрессия'!$A$11:$A$110,"&gt;=0"))+B39^2*'Взвешенная регрессия'!$B$125+'Взвешенная регрессия'!$B$126+2*B39*'Взвешенная регрессия'!$B$127)/IF('Ввод'!$B$6=1,'Регрессия'!$B$7,'Взвешенная регрессия'!$B$120)^2</f>
        <v/>
      </c>
      <c r="D39" s="6">
        <f>IF(C39&lt;0,NA(),SQRT(C39))</f>
        <v/>
      </c>
      <c r="E39" s="6">
        <f>SQRT(D39^2+(A39*'Ввод'!$B$5)^2)</f>
        <v/>
      </c>
      <c r="F39" s="6">
        <f>2*E39</f>
        <v/>
      </c>
      <c r="G39" s="6">
        <f>IF(ABS(A39-'Неопределенность'!$B$1)&lt;=$B$2/2,"← x_pred","")</f>
        <v/>
      </c>
    </row>
    <row r="40">
      <c r="A40" s="6">
        <f>MIN('Ввод'!$B$9:$B$108)+(ROW()-4)*$B$2</f>
        <v/>
      </c>
      <c r="B40" s="6">
        <f>IF('Ввод'!$B$6=1,A40-'Регрессия'!$B$3,A40-'Взвешенная регрессия'!$B$128+'Взвешенная регрессия'!$B$121/'Взвешенная регрессия'!$B$120)</f>
        <v/>
      </c>
      <c r="C40" s="6">
        <f>IF('Ввод'!$B$6=1,'Регрессия'!$B$6*(1/'Ввод'!$B$4+1/'Регрессия'!$B$2+B40^2/'Регрессия'!$B$5)+'Регрессия'!$B$10+B40^2*'Регрессия'!$B$9+2*B40*'Регрессия'!$B$11,'Взвешенная регрессия'!$B$124*(1/'Ввод'!$B$4+1/COUNTIFS('Взвешенная регрессия'!$A$11:$A$110,"&gt;=0"))+B40^2*'Взвешенная регрессия'!$B$125+'Взвешенная регрессия'!$B$126+2*B40*'Взвешенная регрессия'!$B$127)/IF('Ввод'!$B$6=1,'Регрессия'!$B$7,'Взвешенная регрессия'!$B$120)^2</f>
        <v/>
      </c>
      <c r="D40" s="6">
        <f>IF(C40&lt;0,NA(),SQRT(C40))</f>
        <v/>
      </c>
      <c r="E40" s="6">
        <f>SQRT(D40^2+(A40*'Ввод'!$B$5)^2)</f>
        <v/>
      </c>
      <c r="F40" s="6">
        <f>2*E40</f>
        <v/>
      </c>
      <c r="G40" s="6">
        <f>IF(ABS(A40-'Неопределенность'!$B$1)&lt;=$B$2/2,"← x_pred","")</f>
        <v/>
      </c>
    </row>
    <row r="41">
      <c r="A41" s="6">
        <f>MIN('Ввод'!$B$9:$B$108)+(ROW()-4)*$B$2</f>
        <v/>
      </c>
      <c r="B41" s="6">
        <f>IF('Ввод'!$B$6=1,A41-'Регрессия'!$B$3,A41-'Взвешенная регрессия'!$B$128+'Взвешенная регрессия'!$B$121/'Взвешенная регрессия'!$B$120)</f>
        <v/>
      </c>
      <c r="C41" s="6">
        <f>IF('Ввод'!$B$6=1,'Регрессия'!$B$6*(1/'Ввод'!$B$4+1/'Регрессия'!$B$2+B41^2/'Регрессия'!$B$5)+'Регрессия'!$B$10+B41^2*'Регрессия'!$B$9+2*B41*'Регрессия'!$B$11,'Взвешенная регрессия'!$B$124*(1/'Ввод'!$B$4+1/COUNTIFS('Взвешенная регрессия'!$A$11:$A$110,"&gt;=0"))+B41^2*'Взвешенная регрессия'!$B$125+'Взвешенная регрессия'!$B$126+2*B41*'Взвешенная регрессия'!$B$127)/IF('Ввод'!$B$6=1,'Регрессия'!$B$7,'Взвешенная регрессия'!$B$120)^2</f>
        <v/>
      </c>
      <c r="D41" s="6">
        <f>IF(C41&lt;0,NA(),SQRT(C41))</f>
        <v/>
      </c>
      <c r="E41" s="6">
        <f>SQRT(D41^2+(A41*'Ввод'!$B$5)^2)</f>
        <v/>
      </c>
      <c r="F41" s="6">
        <f>2*E41</f>
        <v/>
      </c>
      <c r="G41" s="6">
        <f>IF(ABS(A41-'Неопределенность'!$B$1)&lt;=$B$2/2,"← x_pred","")</f>
        <v/>
      </c>
    </row>
    <row r="42">
      <c r="A42" s="6">
        <f>MIN('Ввод'!$B$9:$B$108)+(ROW()-4)*$B$2</f>
        <v/>
      </c>
      <c r="B42" s="6">
        <f>IF('Ввод'!$B$6=1,A42-'Регрессия'!$B$3,A42-'Взвешенная регрессия'!$B$128+'Взвешенная регрессия'!$B$121/'Взвешенная регрессия'!$B$120)</f>
        <v/>
      </c>
      <c r="C42" s="6">
        <f>IF('Ввод'!$B$6=1,'Регрессия'!$B$6*(1/'Ввод'!$B$4+1/'Регрессия'!$B$2+B42^2/'Регрессия'!$B$5)+'Регрессия'!$B$10+B42^2*'Регрессия'!$B$9+2*B42*'Регрессия'!$B$11,'Взвешенная регрессия'!$B$124*(1/'Ввод'!$B$4+1/COUNTIFS('Взвешенная регрессия'!$A$11:$A$110,"&gt;=0"))+B42^2*'Взвешенная регрессия'!$B$125+'Взвешенная регрессия'!$B$126+2*B42*'Взвешенная регрессия'!$B$127)/IF('Ввод'!$B$6=1,'Регрессия'!$B$7,'Взвешенная регрессия'!$B$120)^2</f>
        <v/>
      </c>
      <c r="D42" s="6">
        <f>IF(C42&lt;0,NA(),SQRT(C42))</f>
        <v/>
      </c>
      <c r="E42" s="6">
        <f>SQRT(D42^2+(A42*'Ввод'!$B$5)^2)</f>
        <v/>
      </c>
      <c r="F42" s="6">
        <f>2*E42</f>
        <v/>
      </c>
      <c r="G42" s="6">
        <f>IF(ABS(A42-'Неопределенность'!$B$1)&lt;=$B$2/2,"← x_pred","")</f>
        <v/>
      </c>
    </row>
    <row r="43">
      <c r="A43" s="6">
        <f>MIN('Ввод'!$B$9:$B$108)+(ROW()-4)*$B$2</f>
        <v/>
      </c>
      <c r="B43" s="6">
        <f>IF('Ввод'!$B$6=1,A43-'Регрессия'!$B$3,A43-'Взвешенная регрессия'!$B$128+'Взвешенная регрессия'!$B$121/'Взвешенная регрессия'!$B$120)</f>
        <v/>
      </c>
      <c r="C43" s="6">
        <f>IF('Ввод'!$B$6=1,'Регрессия'!$B$6*(1/'Ввод'!$B$4+1/'Регрессия'!$B$2+B43^2/'Регрессия'!$B$5)+'Регрессия'!$B$10+B43^2*'Регрессия'!$B$9+2*B43*'Регрессия'!$B$11,'Взвешенная регрессия'!$B$124*(1/'Ввод'!$B$4+1/COUNTIFS('Взвешенная регрессия'!$A$11:$A$110,"&gt;=0"))+B43^2*'Взвешенная регрессия'!$B$125+'Взвешенная регрессия'!$B$126+2*B43*'Взвешенная регрессия'!$B$127)/IF('Ввод'!$B$6=1,'Регрессия'!$B$7,'Взвешенная регрессия'!$B$120)^2</f>
        <v/>
      </c>
      <c r="D43" s="6">
        <f>IF(C43&lt;0,NA(),SQRT(C43))</f>
        <v/>
      </c>
      <c r="E43" s="6">
        <f>SQRT(D43^2+(A43*'Ввод'!$B$5)^2)</f>
        <v/>
      </c>
      <c r="F43" s="6">
        <f>2*E43</f>
        <v/>
      </c>
      <c r="G43" s="6">
        <f>IF(ABS(A43-'Неопределенность'!$B$1)&lt;=$B$2/2,"← x_pred","")</f>
        <v/>
      </c>
    </row>
    <row r="44">
      <c r="A44" s="6">
        <f>MIN('Ввод'!$B$9:$B$108)+(ROW()-4)*$B$2</f>
        <v/>
      </c>
      <c r="B44" s="6">
        <f>IF('Ввод'!$B$6=1,A44-'Регрессия'!$B$3,A44-'Взвешенная регрессия'!$B$128+'Взвешенная регрессия'!$B$121/'Взвешенная регрессия'!$B$120)</f>
        <v/>
      </c>
      <c r="C44" s="6">
        <f>IF('Ввод'!$B$6=1,'Регрессия'!$B$6*(1/'Ввод'!$B$4+1/'Регрессия'!$B$2+B44^2/'Регрессия'!$B$5)+'Регрессия'!$B$10+B44^2*'Регрессия'!$B$9+2*B44*'Регрессия'!$B$11,'Взвешенная регрессия'!$B$124*(1/'Ввод'!$B$4+1/COUNTIFS('Взвешенная регрессия'!$A$11:$A$110,"&gt;=0"))+B44^2*'Взвешенная регрессия'!$B$125+'Взвешенная регрессия'!$B$126+2*B44*'Взвешенная регрессия'!$B$127)/IF('Ввод'!$B$6=1,'Регрессия'!$B$7,'Взвешенная регрессия'!$B$120)^2</f>
        <v/>
      </c>
      <c r="D44" s="6">
        <f>IF(C44&lt;0,NA(),SQRT(C44))</f>
        <v/>
      </c>
      <c r="E44" s="6">
        <f>SQRT(D44^2+(A44*'Ввод'!$B$5)^2)</f>
        <v/>
      </c>
      <c r="F44" s="6">
        <f>2*E44</f>
        <v/>
      </c>
      <c r="G44" s="6">
        <f>IF(ABS(A44-'Неопределенность'!$B$1)&lt;=$B$2/2,"← x_pred","")</f>
        <v/>
      </c>
    </row>
    <row r="45">
      <c r="A45" s="6">
        <f>MIN('Ввод'!$B$9:$B$108)+(ROW()-4)*$B$2</f>
        <v/>
      </c>
      <c r="B45" s="6">
        <f>IF('Ввод'!$B$6=1,A45-'Регрессия'!$B$3,A45-'Взвешенная регрессия'!$B$128+'Взвешенная регрессия'!$B$121/'Взвешенная регрессия'!$B$120)</f>
        <v/>
      </c>
      <c r="C45" s="6">
        <f>IF('Ввод'!$B$6=1,'Регрессия'!$B$6*(1/'Ввод'!$B$4+1/'Регрессия'!$B$2+B45^2/'Регрессия'!$B$5)+'Регрессия'!$B$10+B45^2*'Регрессия'!$B$9+2*B45*'Регрессия'!$B$11,'Взвешенная регрессия'!$B$124*(1/'Ввод'!$B$4+1/COUNTIFS('Взвешенная регрессия'!$A$11:$A$110,"&gt;=0"))+B45^2*'Взвешенная регрессия'!$B$125+'Взвешенная регрессия'!$B$126+2*B45*'Взвешенная регрессия'!$B$127)/IF('Ввод'!$B$6=1,'Регрессия'!$B$7,'Взвешенная регрессия'!$B$120)^2</f>
        <v/>
      </c>
      <c r="D45" s="6">
        <f>IF(C45&lt;0,NA(),SQRT(C45))</f>
        <v/>
      </c>
      <c r="E45" s="6">
        <f>SQRT(D45^2+(A45*'Ввод'!$B$5)^2)</f>
        <v/>
      </c>
      <c r="F45" s="6">
        <f>2*E45</f>
        <v/>
      </c>
      <c r="G45" s="6">
        <f>IF(ABS(A45-'Неопределенность'!$B$1)&lt;=$B$2/2,"← x_pred","")</f>
        <v/>
      </c>
    </row>
    <row r="46">
      <c r="A46" s="6">
        <f>MIN('Ввод'!$B$9:$B$108)+(ROW()-4)*$B$2</f>
        <v/>
      </c>
      <c r="B46" s="6">
        <f>IF('Ввод'!$B$6=1,A46-'Регрессия'!$B$3,A46-'Взвешенная регрессия'!$B$128+'Взвешенная регрессия'!$B$121/'Взвешенная регрессия'!$B$120)</f>
        <v/>
      </c>
      <c r="C46" s="6">
        <f>IF('Ввод'!$B$6=1,'Регрессия'!$B$6*(1/'Ввод'!$B$4+1/'Регрессия'!$B$2+B46^2/'Регрессия'!$B$5)+'Регрессия'!$B$10+B46^2*'Регрессия'!$B$9+2*B46*'Регрессия'!$B$11,'Взвешенная регрессия'!$B$124*(1/'Ввод'!$B$4+1/COUNTIFS('Взвешенная регрессия'!$A$11:$A$110,"&gt;=0"))+B46^2*'Взвешенная регрессия'!$B$125+'Взвешенная регрессия'!$B$126+2*B46*'Взвешенная регрессия'!$B$127)/IF('Ввод'!$B$6=1,'Регрессия'!$B$7,'Взвешенная регрессия'!$B$120)^2</f>
        <v/>
      </c>
      <c r="D46" s="6">
        <f>IF(C46&lt;0,NA(),SQRT(C46))</f>
        <v/>
      </c>
      <c r="E46" s="6">
        <f>SQRT(D46^2+(A46*'Ввод'!$B$5)^2)</f>
        <v/>
      </c>
      <c r="F46" s="6">
        <f>2*E46</f>
        <v/>
      </c>
      <c r="G46" s="6">
        <f>IF(ABS(A46-'Неопределенность'!$B$1)&lt;=$B$2/2,"← x_pred","")</f>
        <v/>
      </c>
    </row>
    <row r="47">
      <c r="A47" s="6">
        <f>MIN('Ввод'!$B$9:$B$108)+(ROW()-4)*$B$2</f>
        <v/>
      </c>
      <c r="B47" s="6">
        <f>IF('Ввод'!$B$6=1,A47-'Регрессия'!$B$3,A47-'Взвешенная регрессия'!$B$128+'Взвешенная регрессия'!$B$121/'Взвешенная регрессия'!$B$120)</f>
        <v/>
      </c>
      <c r="C47" s="6">
        <f>IF('Ввод'!$B$6=1,'Регрессия'!$B$6*(1/'Ввод'!$B$4+1/'Регрессия'!$B$2+B47^2/'Регрессия'!$B$5)+'Регрессия'!$B$10+B47^2*'Регрессия'!$B$9+2*B47*'Регрессия'!$B$11,'Взвешенная регрессия'!$B$124*(1/'Ввод'!$B$4+1/COUNTIFS('Взвешенная регрессия'!$A$11:$A$110,"&gt;=0"))+B47^2*'Взвешенная регрессия'!$B$125+'Взвешенная регрессия'!$B$126+2*B47*'Взвешенная регрессия'!$B$127)/IF('Ввод'!$B$6=1,'Регрессия'!$B$7,'Взвешенная регрессия'!$B$120)^2</f>
        <v/>
      </c>
      <c r="D47" s="6">
        <f>IF(C47&lt;0,NA(),SQRT(C47))</f>
        <v/>
      </c>
      <c r="E47" s="6">
        <f>SQRT(D47^2+(A47*'Ввод'!$B$5)^2)</f>
        <v/>
      </c>
      <c r="F47" s="6">
        <f>2*E47</f>
        <v/>
      </c>
      <c r="G47" s="6">
        <f>IF(ABS(A47-'Неопределенность'!$B$1)&lt;=$B$2/2,"← x_pred","")</f>
        <v/>
      </c>
    </row>
    <row r="48">
      <c r="A48" s="6">
        <f>MIN('Ввод'!$B$9:$B$108)+(ROW()-4)*$B$2</f>
        <v/>
      </c>
      <c r="B48" s="6">
        <f>IF('Ввод'!$B$6=1,A48-'Регрессия'!$B$3,A48-'Взвешенная регрессия'!$B$128+'Взвешенная регрессия'!$B$121/'Взвешенная регрессия'!$B$120)</f>
        <v/>
      </c>
      <c r="C48" s="6">
        <f>IF('Ввод'!$B$6=1,'Регрессия'!$B$6*(1/'Ввод'!$B$4+1/'Регрессия'!$B$2+B48^2/'Регрессия'!$B$5)+'Регрессия'!$B$10+B48^2*'Регрессия'!$B$9+2*B48*'Регрессия'!$B$11,'Взвешенная регрессия'!$B$124*(1/'Ввод'!$B$4+1/COUNTIFS('Взвешенная регрессия'!$A$11:$A$110,"&gt;=0"))+B48^2*'Взвешенная регрессия'!$B$125+'Взвешенная регрессия'!$B$126+2*B48*'Взвешенная регрессия'!$B$127)/IF('Ввод'!$B$6=1,'Регрессия'!$B$7,'Взвешенная регрессия'!$B$120)^2</f>
        <v/>
      </c>
      <c r="D48" s="6">
        <f>IF(C48&lt;0,NA(),SQRT(C48))</f>
        <v/>
      </c>
      <c r="E48" s="6">
        <f>SQRT(D48^2+(A48*'Ввод'!$B$5)^2)</f>
        <v/>
      </c>
      <c r="F48" s="6">
        <f>2*E48</f>
        <v/>
      </c>
      <c r="G48" s="6">
        <f>IF(ABS(A48-'Неопределенность'!$B$1)&lt;=$B$2/2,"← x_pred","")</f>
        <v/>
      </c>
    </row>
    <row r="49">
      <c r="A49" s="6">
        <f>MIN('Ввод'!$B$9:$B$108)+(ROW()-4)*$B$2</f>
        <v/>
      </c>
      <c r="B49" s="6">
        <f>IF('Ввод'!$B$6=1,A49-'Регрессия'!$B$3,A49-'Взвешенная регрессия'!$B$128+'Взвешенная регрессия'!$B$121/'Взвешенная регрессия'!$B$120)</f>
        <v/>
      </c>
      <c r="C49" s="6">
        <f>IF('Ввод'!$B$6=1,'Регрессия'!$B$6*(1/'Ввод'!$B$4+1/'Регрессия'!$B$2+B49^2/'Регрессия'!$B$5)+'Регрессия'!$B$10+B49^2*'Регрессия'!$B$9+2*B49*'Регрессия'!$B$11,'Взвешенная регрессия'!$B$124*(1/'Ввод'!$B$4+1/COUNTIFS('Взвешенная регрессия'!$A$11:$A$110,"&gt;=0"))+B49^2*'Взвешенная регрессия'!$B$125+'Взвешенная регрессия'!$B$126+2*B49*'Взвешенная регрессия'!$B$127)/IF('Ввод'!$B$6=1,'Регрессия'!$B$7,'Взвешенная регрессия'!$B$120)^2</f>
        <v/>
      </c>
      <c r="D49" s="6">
        <f>IF(C49&lt;0,NA(),SQRT(C49))</f>
        <v/>
      </c>
      <c r="E49" s="6">
        <f>SQRT(D49^2+(A49*'Ввод'!$B$5)^2)</f>
        <v/>
      </c>
      <c r="F49" s="6">
        <f>2*E49</f>
        <v/>
      </c>
      <c r="G49" s="6">
        <f>IF(ABS(A49-'Неопределенность'!$B$1)&lt;=$B$2/2,"← x_pred","")</f>
        <v/>
      </c>
    </row>
    <row r="50">
      <c r="A50" s="6">
        <f>MIN('Ввод'!$B$9:$B$108)+(ROW()-4)*$B$2</f>
        <v/>
      </c>
      <c r="B50" s="6">
        <f>IF('Ввод'!$B$6=1,A50-'Регрессия'!$B$3,A50-'Взвешенная регрессия'!$B$128+'Взвешенная регрессия'!$B$121/'Взвешенная регрессия'!$B$120)</f>
        <v/>
      </c>
      <c r="C50" s="6">
        <f>IF('Ввод'!$B$6=1,'Регрессия'!$B$6*(1/'Ввод'!$B$4+1/'Регрессия'!$B$2+B50^2/'Регрессия'!$B$5)+'Регрессия'!$B$10+B50^2*'Регрессия'!$B$9+2*B50*'Регрессия'!$B$11,'Взвешенная регрессия'!$B$124*(1/'Ввод'!$B$4+1/COUNTIFS('Взвешенная регрессия'!$A$11:$A$110,"&gt;=0"))+B50^2*'Взвешенная регрессия'!$B$125+'Взвешенная регрессия'!$B$126+2*B50*'Взвешенная регрессия'!$B$127)/IF('Ввод'!$B$6=1,'Регрессия'!$B$7,'Взвешенная регрессия'!$B$120)^2</f>
        <v/>
      </c>
      <c r="D50" s="6">
        <f>IF(C50&lt;0,NA(),SQRT(C50))</f>
        <v/>
      </c>
      <c r="E50" s="6">
        <f>SQRT(D50^2+(A50*'Ввод'!$B$5)^2)</f>
        <v/>
      </c>
      <c r="F50" s="6">
        <f>2*E50</f>
        <v/>
      </c>
      <c r="G50" s="6">
        <f>IF(ABS(A50-'Неопределенность'!$B$1)&lt;=$B$2/2,"← x_pred","")</f>
        <v/>
      </c>
    </row>
    <row r="51">
      <c r="A51" s="6">
        <f>MIN('Ввод'!$B$9:$B$108)+(ROW()-4)*$B$2</f>
        <v/>
      </c>
      <c r="B51" s="6">
        <f>IF('Ввод'!$B$6=1,A51-'Регрессия'!$B$3,A51-'Взвешенная регрессия'!$B$128+'Взвешенная регрессия'!$B$121/'Взвешенная регрессия'!$B$120)</f>
        <v/>
      </c>
      <c r="C51" s="6">
        <f>IF('Ввод'!$B$6=1,'Регрессия'!$B$6*(1/'Ввод'!$B$4+1/'Регрессия'!$B$2+B51^2/'Регрессия'!$B$5)+'Регрессия'!$B$10+B51^2*'Регрессия'!$B$9+2*B51*'Регрессия'!$B$11,'Взвешенная регрессия'!$B$124*(1/'Ввод'!$B$4+1/COUNTIFS('Взвешенная регрессия'!$A$11:$A$110,"&gt;=0"))+B51^2*'Взвешенная регрессия'!$B$125+'Взвешенная регрессия'!$B$126+2*B51*'Взвешенная регрессия'!$B$127)/IF('Ввод'!$B$6=1,'Регрессия'!$B$7,'Взвешенная регрессия'!$B$120)^2</f>
        <v/>
      </c>
      <c r="D51" s="6">
        <f>IF(C51&lt;0,NA(),SQRT(C51))</f>
        <v/>
      </c>
      <c r="E51" s="6">
        <f>SQRT(D51^2+(A51*'Ввод'!$B$5)^2)</f>
        <v/>
      </c>
      <c r="F51" s="6">
        <f>2*E51</f>
        <v/>
      </c>
      <c r="G51" s="6">
        <f>IF(ABS(A51-'Неопределенность'!$B$1)&lt;=$B$2/2,"← x_pred","")</f>
        <v/>
      </c>
    </row>
    <row r="52">
      <c r="A52" s="6">
        <f>MIN('Ввод'!$B$9:$B$108)+(ROW()-4)*$B$2</f>
        <v/>
      </c>
      <c r="B52" s="6">
        <f>IF('Ввод'!$B$6=1,A52-'Регрессия'!$B$3,A52-'Взвешенная регрессия'!$B$128+'Взвешенная регрессия'!$B$121/'Взвешенная регрессия'!$B$120)</f>
        <v/>
      </c>
      <c r="C52" s="6">
        <f>IF('Ввод'!$B$6=1,'Регрессия'!$B$6*(1/'Ввод'!$B$4+1/'Регрессия'!$B$2+B52^2/'Регрессия'!$B$5)+'Регрессия'!$B$10+B52^2*'Регрессия'!$B$9+2*B52*'Регрессия'!$B$11,'Взвешенная регрессия'!$B$124*(1/'Ввод'!$B$4+1/COUNTIFS('Взвешенная регрессия'!$A$11:$A$110,"&gt;=0"))+B52^2*'Взвешенная регрессия'!$B$125+'Взвешенная регрессия'!$B$126+2*B52*'Взвешенная регрессия'!$B$127)/IF('Ввод'!$B$6=1,'Регрессия'!$B$7,'Взвешенная регрессия'!$B$120)^2</f>
        <v/>
      </c>
      <c r="D52" s="6">
        <f>IF(C52&lt;0,NA(),SQRT(C52))</f>
        <v/>
      </c>
      <c r="E52" s="6">
        <f>SQRT(D52^2+(A52*'Ввод'!$B$5)^2)</f>
        <v/>
      </c>
      <c r="F52" s="6">
        <f>2*E52</f>
        <v/>
      </c>
      <c r="G52" s="6">
        <f>IF(ABS(A52-'Неопределенность'!$B$1)&lt;=$B$2/2,"← x_pred","")</f>
        <v/>
      </c>
    </row>
    <row r="53">
      <c r="A53" s="6">
        <f>MIN('Ввод'!$B$9:$B$108)+(ROW()-4)*$B$2</f>
        <v/>
      </c>
      <c r="B53" s="6">
        <f>IF('Ввод'!$B$6=1,A53-'Регрессия'!$B$3,A53-'Взвешенная регрессия'!$B$128+'Взвешенная регрессия'!$B$121/'Взвешенная регрессия'!$B$120)</f>
        <v/>
      </c>
      <c r="C53" s="6">
        <f>IF('Ввод'!$B$6=1,'Регрессия'!$B$6*(1/'Ввод'!$B$4+1/'Регрессия'!$B$2+B53^2/'Регрессия'!$B$5)+'Регрессия'!$B$10+B53^2*'Регрессия'!$B$9+2*B53*'Регрессия'!$B$11,'Взвешенная регрессия'!$B$124*(1/'Ввод'!$B$4+1/COUNTIFS('Взвешенная регрессия'!$A$11:$A$110,"&gt;=0"))+B53^2*'Взвешенная регрессия'!$B$125+'Взвешенная регрессия'!$B$126+2*B53*'Взвешенная регрессия'!$B$127)/IF('Ввод'!$B$6=1,'Регрессия'!$B$7,'Взвешенная регрессия'!$B$120)^2</f>
        <v/>
      </c>
      <c r="D53" s="6">
        <f>IF(C53&lt;0,NA(),SQRT(C53))</f>
        <v/>
      </c>
      <c r="E53" s="6">
        <f>SQRT(D53^2+(A53*'Ввод'!$B$5)^2)</f>
        <v/>
      </c>
      <c r="F53" s="6">
        <f>2*E53</f>
        <v/>
      </c>
      <c r="G53" s="6">
        <f>IF(ABS(A53-'Неопределенность'!$B$1)&lt;=$B$2/2,"← x_pred","")</f>
        <v/>
      </c>
    </row>
    <row r="54">
      <c r="A54" s="6">
        <f>MIN('Ввод'!$B$9:$B$108)+(ROW()-4)*$B$2</f>
        <v/>
      </c>
      <c r="B54" s="6">
        <f>IF('Ввод'!$B$6=1,A54-'Регрессия'!$B$3,A54-'Взвешенная регрессия'!$B$128+'Взвешенная регрессия'!$B$121/'Взвешенная регрессия'!$B$120)</f>
        <v/>
      </c>
      <c r="C54" s="6">
        <f>IF('Ввод'!$B$6=1,'Регрессия'!$B$6*(1/'Ввод'!$B$4+1/'Регрессия'!$B$2+B54^2/'Регрессия'!$B$5)+'Регрессия'!$B$10+B54^2*'Регрессия'!$B$9+2*B54*'Регрессия'!$B$11,'Взвешенная регрессия'!$B$124*(1/'Ввод'!$B$4+1/COUNTIFS('Взвешенная регрессия'!$A$11:$A$110,"&gt;=0"))+B54^2*'Взвешенная регрессия'!$B$125+'Взвешенная регрессия'!$B$126+2*B54*'Взвешенная регрессия'!$B$127)/IF('Ввод'!$B$6=1,'Регрессия'!$B$7,'Взвешенная регрессия'!$B$120)^2</f>
        <v/>
      </c>
      <c r="D54" s="6">
        <f>IF(C54&lt;0,NA(),SQRT(C54))</f>
        <v/>
      </c>
      <c r="E54" s="6">
        <f>SQRT(D54^2+(A54*'Ввод'!$B$5)^2)</f>
        <v/>
      </c>
      <c r="F54" s="6">
        <f>2*E54</f>
        <v/>
      </c>
      <c r="G54" s="6">
        <f>IF(ABS(A54-'Неопределенность'!$B$1)&lt;=$B$2/2,"← x_pred","")</f>
        <v/>
      </c>
    </row>
    <row r="55">
      <c r="A55" s="6">
        <f>MIN('Ввод'!$B$9:$B$108)+(ROW()-4)*$B$2</f>
        <v/>
      </c>
      <c r="B55" s="6">
        <f>IF('Ввод'!$B$6=1,A55-'Регрессия'!$B$3,A55-'Взвешенная регрессия'!$B$128+'Взвешенная регрессия'!$B$121/'Взвешенная регрессия'!$B$120)</f>
        <v/>
      </c>
      <c r="C55" s="6">
        <f>IF('Ввод'!$B$6=1,'Регрессия'!$B$6*(1/'Ввод'!$B$4+1/'Регрессия'!$B$2+B55^2/'Регрессия'!$B$5)+'Регрессия'!$B$10+B55^2*'Регрессия'!$B$9+2*B55*'Регрессия'!$B$11,'Взвешенная регрессия'!$B$124*(1/'Ввод'!$B$4+1/COUNTIFS('Взвешенная регрессия'!$A$11:$A$110,"&gt;=0"))+B55^2*'Взвешенная регрессия'!$B$125+'Взвешенная регрессия'!$B$126+2*B55*'Взвешенная регрессия'!$B$127)/IF('Ввод'!$B$6=1,'Регрессия'!$B$7,'Взвешенная регрессия'!$B$120)^2</f>
        <v/>
      </c>
      <c r="D55" s="6">
        <f>IF(C55&lt;0,NA(),SQRT(C55))</f>
        <v/>
      </c>
      <c r="E55" s="6">
        <f>SQRT(D55^2+(A55*'Ввод'!$B$5)^2)</f>
        <v/>
      </c>
      <c r="F55" s="6">
        <f>2*E55</f>
        <v/>
      </c>
      <c r="G55" s="6">
        <f>IF(ABS(A55-'Неопределенность'!$B$1)&lt;=$B$2/2,"← x_pred","")</f>
        <v/>
      </c>
    </row>
    <row r="56">
      <c r="A56" s="6">
        <f>MIN('Ввод'!$B$9:$B$108)+(ROW()-4)*$B$2</f>
        <v/>
      </c>
      <c r="B56" s="6">
        <f>IF('Ввод'!$B$6=1,A56-'Регрессия'!$B$3,A56-'Взвешенная регрессия'!$B$128+'Взвешенная регрессия'!$B$121/'Взвешенная регрессия'!$B$120)</f>
        <v/>
      </c>
      <c r="C56" s="6">
        <f>IF('Ввод'!$B$6=1,'Регрессия'!$B$6*(1/'Ввод'!$B$4+1/'Регрессия'!$B$2+B56^2/'Регрессия'!$B$5)+'Регрессия'!$B$10+B56^2*'Регрессия'!$B$9+2*B56*'Регрессия'!$B$11,'Взвешенная регрессия'!$B$124*(1/'Ввод'!$B$4+1/COUNTIFS('Взвешенная регрессия'!$A$11:$A$110,"&gt;=0"))+B56^2*'Взвешенная регрессия'!$B$125+'Взвешенная регрессия'!$B$126+2*B56*'Взвешенная регрессия'!$B$127)/IF('Ввод'!$B$6=1,'Регрессия'!$B$7,'Взвешенная регрессия'!$B$120)^2</f>
        <v/>
      </c>
      <c r="D56" s="6">
        <f>IF(C56&lt;0,NA(),SQRT(C56))</f>
        <v/>
      </c>
      <c r="E56" s="6">
        <f>SQRT(D56^2+(A56*'Ввод'!$B$5)^2)</f>
        <v/>
      </c>
      <c r="F56" s="6">
        <f>2*E56</f>
        <v/>
      </c>
      <c r="G56" s="6">
        <f>IF(ABS(A56-'Неопределенность'!$B$1)&lt;=$B$2/2,"← x_pred","")</f>
        <v/>
      </c>
    </row>
    <row r="57">
      <c r="A57" s="6">
        <f>MIN('Ввод'!$B$9:$B$108)+(ROW()-4)*$B$2</f>
        <v/>
      </c>
      <c r="B57" s="6">
        <f>IF('Ввод'!$B$6=1,A57-'Регрессия'!$B$3,A57-'Взвешенная регрессия'!$B$128+'Взвешенная регрессия'!$B$121/'Взвешенная регрессия'!$B$120)</f>
        <v/>
      </c>
      <c r="C57" s="6">
        <f>IF('Ввод'!$B$6=1,'Регрессия'!$B$6*(1/'Ввод'!$B$4+1/'Регрессия'!$B$2+B57^2/'Регрессия'!$B$5)+'Регрессия'!$B$10+B57^2*'Регрессия'!$B$9+2*B57*'Регрессия'!$B$11,'Взвешенная регрессия'!$B$124*(1/'Ввод'!$B$4+1/COUNTIFS('Взвешенная регрессия'!$A$11:$A$110,"&gt;=0"))+B57^2*'Взвешенная регрессия'!$B$125+'Взвешенная регрессия'!$B$126+2*B57*'Взвешенная регрессия'!$B$127)/IF('Ввод'!$B$6=1,'Регрессия'!$B$7,'Взвешенная регрессия'!$B$120)^2</f>
        <v/>
      </c>
      <c r="D57" s="6">
        <f>IF(C57&lt;0,NA(),SQRT(C57))</f>
        <v/>
      </c>
      <c r="E57" s="6">
        <f>SQRT(D57^2+(A57*'Ввод'!$B$5)^2)</f>
        <v/>
      </c>
      <c r="F57" s="6">
        <f>2*E57</f>
        <v/>
      </c>
      <c r="G57" s="6">
        <f>IF(ABS(A57-'Неопределенность'!$B$1)&lt;=$B$2/2,"← x_pred","")</f>
        <v/>
      </c>
    </row>
    <row r="58">
      <c r="A58" s="6">
        <f>MIN('Ввод'!$B$9:$B$108)+(ROW()-4)*$B$2</f>
        <v/>
      </c>
      <c r="B58" s="6">
        <f>IF('Ввод'!$B$6=1,A58-'Регрессия'!$B$3,A58-'Взвешенная регрессия'!$B$128+'Взвешенная регрессия'!$B$121/'Взвешенная регрессия'!$B$120)</f>
        <v/>
      </c>
      <c r="C58" s="6">
        <f>IF('Ввод'!$B$6=1,'Регрессия'!$B$6*(1/'Ввод'!$B$4+1/'Регрессия'!$B$2+B58^2/'Регрессия'!$B$5)+'Регрессия'!$B$10+B58^2*'Регрессия'!$B$9+2*B58*'Регрессия'!$B$11,'Взвешенная регрессия'!$B$124*(1/'Ввод'!$B$4+1/COUNTIFS('Взвешенная регрессия'!$A$11:$A$110,"&gt;=0"))+B58^2*'Взвешенная регрессия'!$B$125+'Взвешенная регрессия'!$B$126+2*B58*'Взвешенная регрессия'!$B$127)/IF('Ввод'!$B$6=1,'Регрессия'!$B$7,'Взвешенная регрессия'!$B$120)^2</f>
        <v/>
      </c>
      <c r="D58" s="6">
        <f>IF(C58&lt;0,NA(),SQRT(C58))</f>
        <v/>
      </c>
      <c r="E58" s="6">
        <f>SQRT(D58^2+(A58*'Ввод'!$B$5)^2)</f>
        <v/>
      </c>
      <c r="F58" s="6">
        <f>2*E58</f>
        <v/>
      </c>
      <c r="G58" s="6">
        <f>IF(ABS(A58-'Неопределенность'!$B$1)&lt;=$B$2/2,"← x_pred","")</f>
        <v/>
      </c>
    </row>
    <row r="59">
      <c r="A59" s="6">
        <f>MIN('Ввод'!$B$9:$B$108)+(ROW()-4)*$B$2</f>
        <v/>
      </c>
      <c r="B59" s="6">
        <f>IF('Ввод'!$B$6=1,A59-'Регрессия'!$B$3,A59-'Взвешенная регрессия'!$B$128+'Взвешенная регрессия'!$B$121/'Взвешенная регрессия'!$B$120)</f>
        <v/>
      </c>
      <c r="C59" s="6">
        <f>IF('Ввод'!$B$6=1,'Регрессия'!$B$6*(1/'Ввод'!$B$4+1/'Регрессия'!$B$2+B59^2/'Регрессия'!$B$5)+'Регрессия'!$B$10+B59^2*'Регрессия'!$B$9+2*B59*'Регрессия'!$B$11,'Взвешенная регрессия'!$B$124*(1/'Ввод'!$B$4+1/COUNTIFS('Взвешенная регрессия'!$A$11:$A$110,"&gt;=0"))+B59^2*'Взвешенная регрессия'!$B$125+'Взвешенная регрессия'!$B$126+2*B59*'Взвешенная регрессия'!$B$127)/IF('Ввод'!$B$6=1,'Регрессия'!$B$7,'Взвешенная регрессия'!$B$120)^2</f>
        <v/>
      </c>
      <c r="D59" s="6">
        <f>IF(C59&lt;0,NA(),SQRT(C59))</f>
        <v/>
      </c>
      <c r="E59" s="6">
        <f>SQRT(D59^2+(A59*'Ввод'!$B$5)^2)</f>
        <v/>
      </c>
      <c r="F59" s="6">
        <f>2*E59</f>
        <v/>
      </c>
      <c r="G59" s="6">
        <f>IF(ABS(A59-'Неопределенность'!$B$1)&lt;=$B$2/2,"← x_pred","")</f>
        <v/>
      </c>
    </row>
    <row r="60">
      <c r="A60" s="6">
        <f>MIN('Ввод'!$B$9:$B$108)+(ROW()-4)*$B$2</f>
        <v/>
      </c>
      <c r="B60" s="6">
        <f>IF('Ввод'!$B$6=1,A60-'Регрессия'!$B$3,A60-'Взвешенная регрессия'!$B$128+'Взвешенная регрессия'!$B$121/'Взвешенная регрессия'!$B$120)</f>
        <v/>
      </c>
      <c r="C60" s="6">
        <f>IF('Ввод'!$B$6=1,'Регрессия'!$B$6*(1/'Ввод'!$B$4+1/'Регрессия'!$B$2+B60^2/'Регрессия'!$B$5)+'Регрессия'!$B$10+B60^2*'Регрессия'!$B$9+2*B60*'Регрессия'!$B$11,'Взвешенная регрессия'!$B$124*(1/'Ввод'!$B$4+1/COUNTIFS('Взвешенная регрессия'!$A$11:$A$110,"&gt;=0"))+B60^2*'Взвешенная регрессия'!$B$125+'Взвешенная регрессия'!$B$126+2*B60*'Взвешенная регрессия'!$B$127)/IF('Ввод'!$B$6=1,'Регрессия'!$B$7,'Взвешенная регрессия'!$B$120)^2</f>
        <v/>
      </c>
      <c r="D60" s="6">
        <f>IF(C60&lt;0,NA(),SQRT(C60))</f>
        <v/>
      </c>
      <c r="E60" s="6">
        <f>SQRT(D60^2+(A60*'Ввод'!$B$5)^2)</f>
        <v/>
      </c>
      <c r="F60" s="6">
        <f>2*E60</f>
        <v/>
      </c>
      <c r="G60" s="6">
        <f>IF(ABS(A60-'Неопределенность'!$B$1)&lt;=$B$2/2,"← x_pred","")</f>
        <v/>
      </c>
    </row>
    <row r="61">
      <c r="A61" s="6">
        <f>MIN('Ввод'!$B$9:$B$108)+(ROW()-4)*$B$2</f>
        <v/>
      </c>
      <c r="B61" s="6">
        <f>IF('Ввод'!$B$6=1,A61-'Регрессия'!$B$3,A61-'Взвешенная регрессия'!$B$128+'Взвешенная регрессия'!$B$121/'Взвешенная регрессия'!$B$120)</f>
        <v/>
      </c>
      <c r="C61" s="6">
        <f>IF('Ввод'!$B$6=1,'Регрессия'!$B$6*(1/'Ввод'!$B$4+1/'Регрессия'!$B$2+B61^2/'Регрессия'!$B$5)+'Регрессия'!$B$10+B61^2*'Регрессия'!$B$9+2*B61*'Регрессия'!$B$11,'Взвешенная регрессия'!$B$124*(1/'Ввод'!$B$4+1/COUNTIFS('Взвешенная регрессия'!$A$11:$A$110,"&gt;=0"))+B61^2*'Взвешенная регрессия'!$B$125+'Взвешенная регрессия'!$B$126+2*B61*'Взвешенная регрессия'!$B$127)/IF('Ввод'!$B$6=1,'Регрессия'!$B$7,'Взвешенная регрессия'!$B$120)^2</f>
        <v/>
      </c>
      <c r="D61" s="6">
        <f>IF(C61&lt;0,NA(),SQRT(C61))</f>
        <v/>
      </c>
      <c r="E61" s="6">
        <f>SQRT(D61^2+(A61*'Ввод'!$B$5)^2)</f>
        <v/>
      </c>
      <c r="F61" s="6">
        <f>2*E61</f>
        <v/>
      </c>
      <c r="G61" s="6">
        <f>IF(ABS(A61-'Неопределенность'!$B$1)&lt;=$B$2/2,"← x_pred","")</f>
        <v/>
      </c>
    </row>
    <row r="62">
      <c r="A62" s="6">
        <f>MIN('Ввод'!$B$9:$B$108)+(ROW()-4)*$B$2</f>
        <v/>
      </c>
      <c r="B62" s="6">
        <f>IF('Ввод'!$B$6=1,A62-'Регрессия'!$B$3,A62-'Взвешенная регрессия'!$B$128+'Взвешенная регрессия'!$B$121/'Взвешенная регрессия'!$B$120)</f>
        <v/>
      </c>
      <c r="C62" s="6">
        <f>IF('Ввод'!$B$6=1,'Регрессия'!$B$6*(1/'Ввод'!$B$4+1/'Регрессия'!$B$2+B62^2/'Регрессия'!$B$5)+'Регрессия'!$B$10+B62^2*'Регрессия'!$B$9+2*B62*'Регрессия'!$B$11,'Взвешенная регрессия'!$B$124*(1/'Ввод'!$B$4+1/COUNTIFS('Взвешенная регрессия'!$A$11:$A$110,"&gt;=0"))+B62^2*'Взвешенная регрессия'!$B$125+'Взвешенная регрессия'!$B$126+2*B62*'Взвешенная регрессия'!$B$127)/IF('Ввод'!$B$6=1,'Регрессия'!$B$7,'Взвешенная регрессия'!$B$120)^2</f>
        <v/>
      </c>
      <c r="D62" s="6">
        <f>IF(C62&lt;0,NA(),SQRT(C62))</f>
        <v/>
      </c>
      <c r="E62" s="6">
        <f>SQRT(D62^2+(A62*'Ввод'!$B$5)^2)</f>
        <v/>
      </c>
      <c r="F62" s="6">
        <f>2*E62</f>
        <v/>
      </c>
      <c r="G62" s="6">
        <f>IF(ABS(A62-'Неопределенность'!$B$1)&lt;=$B$2/2,"← x_pred","")</f>
        <v/>
      </c>
    </row>
    <row r="63">
      <c r="A63" s="6">
        <f>MIN('Ввод'!$B$9:$B$108)+(ROW()-4)*$B$2</f>
        <v/>
      </c>
      <c r="B63" s="6">
        <f>IF('Ввод'!$B$6=1,A63-'Регрессия'!$B$3,A63-'Взвешенная регрессия'!$B$128+'Взвешенная регрессия'!$B$121/'Взвешенная регрессия'!$B$120)</f>
        <v/>
      </c>
      <c r="C63" s="6">
        <f>IF('Ввод'!$B$6=1,'Регрессия'!$B$6*(1/'Ввод'!$B$4+1/'Регрессия'!$B$2+B63^2/'Регрессия'!$B$5)+'Регрессия'!$B$10+B63^2*'Регрессия'!$B$9+2*B63*'Регрессия'!$B$11,'Взвешенная регрессия'!$B$124*(1/'Ввод'!$B$4+1/COUNTIFS('Взвешенная регрессия'!$A$11:$A$110,"&gt;=0"))+B63^2*'Взвешенная регрессия'!$B$125+'Взвешенная регрессия'!$B$126+2*B63*'Взвешенная регрессия'!$B$127)/IF('Ввод'!$B$6=1,'Регрессия'!$B$7,'Взвешенная регрессия'!$B$120)^2</f>
        <v/>
      </c>
      <c r="D63" s="6">
        <f>IF(C63&lt;0,NA(),SQRT(C63))</f>
        <v/>
      </c>
      <c r="E63" s="6">
        <f>SQRT(D63^2+(A63*'Ввод'!$B$5)^2)</f>
        <v/>
      </c>
      <c r="F63" s="6">
        <f>2*E63</f>
        <v/>
      </c>
      <c r="G63" s="6">
        <f>IF(ABS(A63-'Неопределенность'!$B$1)&lt;=$B$2/2,"← x_pred","")</f>
        <v/>
      </c>
    </row>
    <row r="64">
      <c r="A64" s="6">
        <f>MIN('Ввод'!$B$9:$B$108)+(ROW()-4)*$B$2</f>
        <v/>
      </c>
      <c r="B64" s="6">
        <f>IF('Ввод'!$B$6=1,A64-'Регрессия'!$B$3,A64-'Взвешенная регрессия'!$B$128+'Взвешенная регрессия'!$B$121/'Взвешенная регрессия'!$B$120)</f>
        <v/>
      </c>
      <c r="C64" s="6">
        <f>IF('Ввод'!$B$6=1,'Регрессия'!$B$6*(1/'Ввод'!$B$4+1/'Регрессия'!$B$2+B64^2/'Регрессия'!$B$5)+'Регрессия'!$B$10+B64^2*'Регрессия'!$B$9+2*B64*'Регрессия'!$B$11,'Взвешенная регрессия'!$B$124*(1/'Ввод'!$B$4+1/COUNTIFS('Взвешенная регрессия'!$A$11:$A$110,"&gt;=0"))+B64^2*'Взвешенная регрессия'!$B$125+'Взвешенная регрессия'!$B$126+2*B64*'Взвешенная регрессия'!$B$127)/IF('Ввод'!$B$6=1,'Регрессия'!$B$7,'Взвешенная регрессия'!$B$120)^2</f>
        <v/>
      </c>
      <c r="D64" s="6">
        <f>IF(C64&lt;0,NA(),SQRT(C64))</f>
        <v/>
      </c>
      <c r="E64" s="6">
        <f>SQRT(D64^2+(A64*'Ввод'!$B$5)^2)</f>
        <v/>
      </c>
      <c r="F64" s="6">
        <f>2*E64</f>
        <v/>
      </c>
      <c r="G64" s="6">
        <f>IF(ABS(A64-'Неопределенность'!$B$1)&lt;=$B$2/2,"← x_pred","")</f>
        <v/>
      </c>
    </row>
    <row r="65">
      <c r="A65" s="6">
        <f>MIN('Ввод'!$B$9:$B$108)+(ROW()-4)*$B$2</f>
        <v/>
      </c>
      <c r="B65" s="6">
        <f>IF('Ввод'!$B$6=1,A65-'Регрессия'!$B$3,A65-'Взвешенная регрессия'!$B$128+'Взвешенная регрессия'!$B$121/'Взвешенная регрессия'!$B$120)</f>
        <v/>
      </c>
      <c r="C65" s="6">
        <f>IF('Ввод'!$B$6=1,'Регрессия'!$B$6*(1/'Ввод'!$B$4+1/'Регрессия'!$B$2+B65^2/'Регрессия'!$B$5)+'Регрессия'!$B$10+B65^2*'Регрессия'!$B$9+2*B65*'Регрессия'!$B$11,'Взвешенная регрессия'!$B$124*(1/'Ввод'!$B$4+1/COUNTIFS('Взвешенная регрессия'!$A$11:$A$110,"&gt;=0"))+B65^2*'Взвешенная регрессия'!$B$125+'Взвешенная регрессия'!$B$126+2*B65*'Взвешенная регрессия'!$B$127)/IF('Ввод'!$B$6=1,'Регрессия'!$B$7,'Взвешенная регрессия'!$B$120)^2</f>
        <v/>
      </c>
      <c r="D65" s="6">
        <f>IF(C65&lt;0,NA(),SQRT(C65))</f>
        <v/>
      </c>
      <c r="E65" s="6">
        <f>SQRT(D65^2+(A65*'Ввод'!$B$5)^2)</f>
        <v/>
      </c>
      <c r="F65" s="6">
        <f>2*E65</f>
        <v/>
      </c>
      <c r="G65" s="6">
        <f>IF(ABS(A65-'Неопределенность'!$B$1)&lt;=$B$2/2,"← x_pred","")</f>
        <v/>
      </c>
    </row>
    <row r="66">
      <c r="A66" s="6">
        <f>MIN('Ввод'!$B$9:$B$108)+(ROW()-4)*$B$2</f>
        <v/>
      </c>
      <c r="B66" s="6">
        <f>IF('Ввод'!$B$6=1,A66-'Регрессия'!$B$3,A66-'Взвешенная регрессия'!$B$128+'Взвешенная регрессия'!$B$121/'Взвешенная регрессия'!$B$120)</f>
        <v/>
      </c>
      <c r="C66" s="6">
        <f>IF('Ввод'!$B$6=1,'Регрессия'!$B$6*(1/'Ввод'!$B$4+1/'Регрессия'!$B$2+B66^2/'Регрессия'!$B$5)+'Регрессия'!$B$10+B66^2*'Регрессия'!$B$9+2*B66*'Регрессия'!$B$11,'Взвешенная регрессия'!$B$124*(1/'Ввод'!$B$4+1/COUNTIFS('Взвешенная регрессия'!$A$11:$A$110,"&gt;=0"))+B66^2*'Взвешенная регрессия'!$B$125+'Взвешенная регрессия'!$B$126+2*B66*'Взвешенная регрессия'!$B$127)/IF('Ввод'!$B$6=1,'Регрессия'!$B$7,'Взвешенная регрессия'!$B$120)^2</f>
        <v/>
      </c>
      <c r="D66" s="6">
        <f>IF(C66&lt;0,NA(),SQRT(C66))</f>
        <v/>
      </c>
      <c r="E66" s="6">
        <f>SQRT(D66^2+(A66*'Ввод'!$B$5)^2)</f>
        <v/>
      </c>
      <c r="F66" s="6">
        <f>2*E66</f>
        <v/>
      </c>
      <c r="G66" s="6">
        <f>IF(ABS(A66-'Неопределенность'!$B$1)&lt;=$B$2/2,"← x_pred","")</f>
        <v/>
      </c>
    </row>
    <row r="67">
      <c r="A67" s="6">
        <f>MIN('Ввод'!$B$9:$B$108)+(ROW()-4)*$B$2</f>
        <v/>
      </c>
      <c r="B67" s="6">
        <f>IF('Ввод'!$B$6=1,A67-'Регрессия'!$B$3,A67-'Взвешенная регрессия'!$B$128+'Взвешенная регрессия'!$B$121/'Взвешенная регрессия'!$B$120)</f>
        <v/>
      </c>
      <c r="C67" s="6">
        <f>IF('Ввод'!$B$6=1,'Регрессия'!$B$6*(1/'Ввод'!$B$4+1/'Регрессия'!$B$2+B67^2/'Регрессия'!$B$5)+'Регрессия'!$B$10+B67^2*'Регрессия'!$B$9+2*B67*'Регрессия'!$B$11,'Взвешенная регрессия'!$B$124*(1/'Ввод'!$B$4+1/COUNTIFS('Взвешенная регрессия'!$A$11:$A$110,"&gt;=0"))+B67^2*'Взвешенная регрессия'!$B$125+'Взвешенная регрессия'!$B$126+2*B67*'Взвешенная регрессия'!$B$127)/IF('Ввод'!$B$6=1,'Регрессия'!$B$7,'Взвешенная регрессия'!$B$120)^2</f>
        <v/>
      </c>
      <c r="D67" s="6">
        <f>IF(C67&lt;0,NA(),SQRT(C67))</f>
        <v/>
      </c>
      <c r="E67" s="6">
        <f>SQRT(D67^2+(A67*'Ввод'!$B$5)^2)</f>
        <v/>
      </c>
      <c r="F67" s="6">
        <f>2*E67</f>
        <v/>
      </c>
      <c r="G67" s="6">
        <f>IF(ABS(A67-'Неопределенность'!$B$1)&lt;=$B$2/2,"← x_pred","")</f>
        <v/>
      </c>
    </row>
    <row r="68">
      <c r="A68" s="6">
        <f>MIN('Ввод'!$B$9:$B$108)+(ROW()-4)*$B$2</f>
        <v/>
      </c>
      <c r="B68" s="6">
        <f>IF('Ввод'!$B$6=1,A68-'Регрессия'!$B$3,A68-'Взвешенная регрессия'!$B$128+'Взвешенная регрессия'!$B$121/'Взвешенная регрессия'!$B$120)</f>
        <v/>
      </c>
      <c r="C68" s="6">
        <f>IF('Ввод'!$B$6=1,'Регрессия'!$B$6*(1/'Ввод'!$B$4+1/'Регрессия'!$B$2+B68^2/'Регрессия'!$B$5)+'Регрессия'!$B$10+B68^2*'Регрессия'!$B$9+2*B68*'Регрессия'!$B$11,'Взвешенная регрессия'!$B$124*(1/'Ввод'!$B$4+1/COUNTIFS('Взвешенная регрессия'!$A$11:$A$110,"&gt;=0"))+B68^2*'Взвешенная регрессия'!$B$125+'Взвешенная регрессия'!$B$126+2*B68*'Взвешенная регрессия'!$B$127)/IF('Ввод'!$B$6=1,'Регрессия'!$B$7,'Взвешенная регрессия'!$B$120)^2</f>
        <v/>
      </c>
      <c r="D68" s="6">
        <f>IF(C68&lt;0,NA(),SQRT(C68))</f>
        <v/>
      </c>
      <c r="E68" s="6">
        <f>SQRT(D68^2+(A68*'Ввод'!$B$5)^2)</f>
        <v/>
      </c>
      <c r="F68" s="6">
        <f>2*E68</f>
        <v/>
      </c>
      <c r="G68" s="6">
        <f>IF(ABS(A68-'Неопределенность'!$B$1)&lt;=$B$2/2,"← x_pred","")</f>
        <v/>
      </c>
    </row>
    <row r="69">
      <c r="A69" s="6">
        <f>MIN('Ввод'!$B$9:$B$108)+(ROW()-4)*$B$2</f>
        <v/>
      </c>
      <c r="B69" s="6">
        <f>IF('Ввод'!$B$6=1,A69-'Регрессия'!$B$3,A69-'Взвешенная регрессия'!$B$128+'Взвешенная регрессия'!$B$121/'Взвешенная регрессия'!$B$120)</f>
        <v/>
      </c>
      <c r="C69" s="6">
        <f>IF('Ввод'!$B$6=1,'Регрессия'!$B$6*(1/'Ввод'!$B$4+1/'Регрессия'!$B$2+B69^2/'Регрессия'!$B$5)+'Регрессия'!$B$10+B69^2*'Регрессия'!$B$9+2*B69*'Регрессия'!$B$11,'Взвешенная регрессия'!$B$124*(1/'Ввод'!$B$4+1/COUNTIFS('Взвешенная регрессия'!$A$11:$A$110,"&gt;=0"))+B69^2*'Взвешенная регрессия'!$B$125+'Взвешенная регрессия'!$B$126+2*B69*'Взвешенная регрессия'!$B$127)/IF('Ввод'!$B$6=1,'Регрессия'!$B$7,'Взвешенная регрессия'!$B$120)^2</f>
        <v/>
      </c>
      <c r="D69" s="6">
        <f>IF(C69&lt;0,NA(),SQRT(C69))</f>
        <v/>
      </c>
      <c r="E69" s="6">
        <f>SQRT(D69^2+(A69*'Ввод'!$B$5)^2)</f>
        <v/>
      </c>
      <c r="F69" s="6">
        <f>2*E69</f>
        <v/>
      </c>
      <c r="G69" s="6">
        <f>IF(ABS(A69-'Неопределенность'!$B$1)&lt;=$B$2/2,"← x_pred","")</f>
        <v/>
      </c>
    </row>
    <row r="70">
      <c r="A70" s="6">
        <f>MIN('Ввод'!$B$9:$B$108)+(ROW()-4)*$B$2</f>
        <v/>
      </c>
      <c r="B70" s="6">
        <f>IF('Ввод'!$B$6=1,A70-'Регрессия'!$B$3,A70-'Взвешенная регрессия'!$B$128+'Взвешенная регрессия'!$B$121/'Взвешенная регрессия'!$B$120)</f>
        <v/>
      </c>
      <c r="C70" s="6">
        <f>IF('Ввод'!$B$6=1,'Регрессия'!$B$6*(1/'Ввод'!$B$4+1/'Регрессия'!$B$2+B70^2/'Регрессия'!$B$5)+'Регрессия'!$B$10+B70^2*'Регрессия'!$B$9+2*B70*'Регрессия'!$B$11,'Взвешенная регрессия'!$B$124*(1/'Ввод'!$B$4+1/COUNTIFS('Взвешенная регрессия'!$A$11:$A$110,"&gt;=0"))+B70^2*'Взвешенная регрессия'!$B$125+'Взвешенная регрессия'!$B$126+2*B70*'Взвешенная регрессия'!$B$127)/IF('Ввод'!$B$6=1,'Регрессия'!$B$7,'Взвешенная регрессия'!$B$120)^2</f>
        <v/>
      </c>
      <c r="D70" s="6">
        <f>IF(C70&lt;0,NA(),SQRT(C70))</f>
        <v/>
      </c>
      <c r="E70" s="6">
        <f>SQRT(D70^2+(A70*'Ввод'!$B$5)^2)</f>
        <v/>
      </c>
      <c r="F70" s="6">
        <f>2*E70</f>
        <v/>
      </c>
      <c r="G70" s="6">
        <f>IF(ABS(A70-'Неопределенность'!$B$1)&lt;=$B$2/2,"← x_pred","")</f>
        <v/>
      </c>
    </row>
    <row r="71">
      <c r="A71" s="6">
        <f>MIN('Ввод'!$B$9:$B$108)+(ROW()-4)*$B$2</f>
        <v/>
      </c>
      <c r="B71" s="6">
        <f>IF('Ввод'!$B$6=1,A71-'Регрессия'!$B$3,A71-'Взвешенная регрессия'!$B$128+'Взвешенная регрессия'!$B$121/'Взвешенная регрессия'!$B$120)</f>
        <v/>
      </c>
      <c r="C71" s="6">
        <f>IF('Ввод'!$B$6=1,'Регрессия'!$B$6*(1/'Ввод'!$B$4+1/'Регрессия'!$B$2+B71^2/'Регрессия'!$B$5)+'Регрессия'!$B$10+B71^2*'Регрессия'!$B$9+2*B71*'Регрессия'!$B$11,'Взвешенная регрессия'!$B$124*(1/'Ввод'!$B$4+1/COUNTIFS('Взвешенная регрессия'!$A$11:$A$110,"&gt;=0"))+B71^2*'Взвешенная регрессия'!$B$125+'Взвешенная регрессия'!$B$126+2*B71*'Взвешенная регрессия'!$B$127)/IF('Ввод'!$B$6=1,'Регрессия'!$B$7,'Взвешенная регрессия'!$B$120)^2</f>
        <v/>
      </c>
      <c r="D71" s="6">
        <f>IF(C71&lt;0,NA(),SQRT(C71))</f>
        <v/>
      </c>
      <c r="E71" s="6">
        <f>SQRT(D71^2+(A71*'Ввод'!$B$5)^2)</f>
        <v/>
      </c>
      <c r="F71" s="6">
        <f>2*E71</f>
        <v/>
      </c>
      <c r="G71" s="6">
        <f>IF(ABS(A71-'Неопределенность'!$B$1)&lt;=$B$2/2,"← x_pred","")</f>
        <v/>
      </c>
    </row>
    <row r="72">
      <c r="A72" s="6">
        <f>MIN('Ввод'!$B$9:$B$108)+(ROW()-4)*$B$2</f>
        <v/>
      </c>
      <c r="B72" s="6">
        <f>IF('Ввод'!$B$6=1,A72-'Регрессия'!$B$3,A72-'Взвешенная регрессия'!$B$128+'Взвешенная регрессия'!$B$121/'Взвешенная регрессия'!$B$120)</f>
        <v/>
      </c>
      <c r="C72" s="6">
        <f>IF('Ввод'!$B$6=1,'Регрессия'!$B$6*(1/'Ввод'!$B$4+1/'Регрессия'!$B$2+B72^2/'Регрессия'!$B$5)+'Регрессия'!$B$10+B72^2*'Регрессия'!$B$9+2*B72*'Регрессия'!$B$11,'Взвешенная регрессия'!$B$124*(1/'Ввод'!$B$4+1/COUNTIFS('Взвешенная регрессия'!$A$11:$A$110,"&gt;=0"))+B72^2*'Взвешенная регрессия'!$B$125+'Взвешенная регрессия'!$B$126+2*B72*'Взвешенная регрессия'!$B$127)/IF('Ввод'!$B$6=1,'Регрессия'!$B$7,'Взвешенная регрессия'!$B$120)^2</f>
        <v/>
      </c>
      <c r="D72" s="6">
        <f>IF(C72&lt;0,NA(),SQRT(C72))</f>
        <v/>
      </c>
      <c r="E72" s="6">
        <f>SQRT(D72^2+(A72*'Ввод'!$B$5)^2)</f>
        <v/>
      </c>
      <c r="F72" s="6">
        <f>2*E72</f>
        <v/>
      </c>
      <c r="G72" s="6">
        <f>IF(ABS(A72-'Неопределенность'!$B$1)&lt;=$B$2/2,"← x_pred","")</f>
        <v/>
      </c>
    </row>
    <row r="73">
      <c r="A73" s="6">
        <f>MIN('Ввод'!$B$9:$B$108)+(ROW()-4)*$B$2</f>
        <v/>
      </c>
      <c r="B73" s="6">
        <f>IF('Ввод'!$B$6=1,A73-'Регрессия'!$B$3,A73-'Взвешенная регрессия'!$B$128+'Взвешенная регрессия'!$B$121/'Взвешенная регрессия'!$B$120)</f>
        <v/>
      </c>
      <c r="C73" s="6">
        <f>IF('Ввод'!$B$6=1,'Регрессия'!$B$6*(1/'Ввод'!$B$4+1/'Регрессия'!$B$2+B73^2/'Регрессия'!$B$5)+'Регрессия'!$B$10+B73^2*'Регрессия'!$B$9+2*B73*'Регрессия'!$B$11,'Взвешенная регрессия'!$B$124*(1/'Ввод'!$B$4+1/COUNTIFS('Взвешенная регрессия'!$A$11:$A$110,"&gt;=0"))+B73^2*'Взвешенная регрессия'!$B$125+'Взвешенная регрессия'!$B$126+2*B73*'Взвешенная регрессия'!$B$127)/IF('Ввод'!$B$6=1,'Регрессия'!$B$7,'Взвешенная регрессия'!$B$120)^2</f>
        <v/>
      </c>
      <c r="D73" s="6">
        <f>IF(C73&lt;0,NA(),SQRT(C73))</f>
        <v/>
      </c>
      <c r="E73" s="6">
        <f>SQRT(D73^2+(A73*'Ввод'!$B$5)^2)</f>
        <v/>
      </c>
      <c r="F73" s="6">
        <f>2*E73</f>
        <v/>
      </c>
      <c r="G73" s="6">
        <f>IF(ABS(A73-'Неопределенность'!$B$1)&lt;=$B$2/2,"← x_pred","")</f>
        <v/>
      </c>
    </row>
    <row r="74">
      <c r="A74" s="6">
        <f>MIN('Ввод'!$B$9:$B$108)+(ROW()-4)*$B$2</f>
        <v/>
      </c>
      <c r="B74" s="6">
        <f>IF('Ввод'!$B$6=1,A74-'Регрессия'!$B$3,A74-'Взвешенная регрессия'!$B$128+'Взвешенная регрессия'!$B$121/'Взвешенная регрессия'!$B$120)</f>
        <v/>
      </c>
      <c r="C74" s="6">
        <f>IF('Ввод'!$B$6=1,'Регрессия'!$B$6*(1/'Ввод'!$B$4+1/'Регрессия'!$B$2+B74^2/'Регрессия'!$B$5)+'Регрессия'!$B$10+B74^2*'Регрессия'!$B$9+2*B74*'Регрессия'!$B$11,'Взвешенная регрессия'!$B$124*(1/'Ввод'!$B$4+1/COUNTIFS('Взвешенная регрессия'!$A$11:$A$110,"&gt;=0"))+B74^2*'Взвешенная регрессия'!$B$125+'Взвешенная регрессия'!$B$126+2*B74*'Взвешенная регрессия'!$B$127)/IF('Ввод'!$B$6=1,'Регрессия'!$B$7,'Взвешенная регрессия'!$B$120)^2</f>
        <v/>
      </c>
      <c r="D74" s="6">
        <f>IF(C74&lt;0,NA(),SQRT(C74))</f>
        <v/>
      </c>
      <c r="E74" s="6">
        <f>SQRT(D74^2+(A74*'Ввод'!$B$5)^2)</f>
        <v/>
      </c>
      <c r="F74" s="6">
        <f>2*E74</f>
        <v/>
      </c>
      <c r="G74" s="6">
        <f>IF(ABS(A74-'Неопределенность'!$B$1)&lt;=$B$2/2,"← x_pred","")</f>
        <v/>
      </c>
    </row>
    <row r="75">
      <c r="A75" s="6">
        <f>MIN('Ввод'!$B$9:$B$108)+(ROW()-4)*$B$2</f>
        <v/>
      </c>
      <c r="B75" s="6">
        <f>IF('Ввод'!$B$6=1,A75-'Регрессия'!$B$3,A75-'Взвешенная регрессия'!$B$128+'Взвешенная регрессия'!$B$121/'Взвешенная регрессия'!$B$120)</f>
        <v/>
      </c>
      <c r="C75" s="6">
        <f>IF('Ввод'!$B$6=1,'Регрессия'!$B$6*(1/'Ввод'!$B$4+1/'Регрессия'!$B$2+B75^2/'Регрессия'!$B$5)+'Регрессия'!$B$10+B75^2*'Регрессия'!$B$9+2*B75*'Регрессия'!$B$11,'Взвешенная регрессия'!$B$124*(1/'Ввод'!$B$4+1/COUNTIFS('Взвешенная регрессия'!$A$11:$A$110,"&gt;=0"))+B75^2*'Взвешенная регрессия'!$B$125+'Взвешенная регрессия'!$B$126+2*B75*'Взвешенная регрессия'!$B$127)/IF('Ввод'!$B$6=1,'Регрессия'!$B$7,'Взвешенная регрессия'!$B$120)^2</f>
        <v/>
      </c>
      <c r="D75" s="6">
        <f>IF(C75&lt;0,NA(),SQRT(C75))</f>
        <v/>
      </c>
      <c r="E75" s="6">
        <f>SQRT(D75^2+(A75*'Ввод'!$B$5)^2)</f>
        <v/>
      </c>
      <c r="F75" s="6">
        <f>2*E75</f>
        <v/>
      </c>
      <c r="G75" s="6">
        <f>IF(ABS(A75-'Неопределенность'!$B$1)&lt;=$B$2/2,"← x_pred","")</f>
        <v/>
      </c>
    </row>
    <row r="76">
      <c r="A76" s="6">
        <f>MIN('Ввод'!$B$9:$B$108)+(ROW()-4)*$B$2</f>
        <v/>
      </c>
      <c r="B76" s="6">
        <f>IF('Ввод'!$B$6=1,A76-'Регрессия'!$B$3,A76-'Взвешенная регрессия'!$B$128+'Взвешенная регрессия'!$B$121/'Взвешенная регрессия'!$B$120)</f>
        <v/>
      </c>
      <c r="C76" s="6">
        <f>IF('Ввод'!$B$6=1,'Регрессия'!$B$6*(1/'Ввод'!$B$4+1/'Регрессия'!$B$2+B76^2/'Регрессия'!$B$5)+'Регрессия'!$B$10+B76^2*'Регрессия'!$B$9+2*B76*'Регрессия'!$B$11,'Взвешенная регрессия'!$B$124*(1/'Ввод'!$B$4+1/COUNTIFS('Взвешенная регрессия'!$A$11:$A$110,"&gt;=0"))+B76^2*'Взвешенная регрессия'!$B$125+'Взвешенная регрессия'!$B$126+2*B76*'Взвешенная регрессия'!$B$127)/IF('Ввод'!$B$6=1,'Регрессия'!$B$7,'Взвешенная регрессия'!$B$120)^2</f>
        <v/>
      </c>
      <c r="D76" s="6">
        <f>IF(C76&lt;0,NA(),SQRT(C76))</f>
        <v/>
      </c>
      <c r="E76" s="6">
        <f>SQRT(D76^2+(A76*'Ввод'!$B$5)^2)</f>
        <v/>
      </c>
      <c r="F76" s="6">
        <f>2*E76</f>
        <v/>
      </c>
      <c r="G76" s="6">
        <f>IF(ABS(A76-'Неопределенность'!$B$1)&lt;=$B$2/2,"← x_pred","")</f>
        <v/>
      </c>
    </row>
    <row r="77">
      <c r="A77" s="6">
        <f>MIN('Ввод'!$B$9:$B$108)+(ROW()-4)*$B$2</f>
        <v/>
      </c>
      <c r="B77" s="6">
        <f>IF('Ввод'!$B$6=1,A77-'Регрессия'!$B$3,A77-'Взвешенная регрессия'!$B$128+'Взвешенная регрессия'!$B$121/'Взвешенная регрессия'!$B$120)</f>
        <v/>
      </c>
      <c r="C77" s="6">
        <f>IF('Ввод'!$B$6=1,'Регрессия'!$B$6*(1/'Ввод'!$B$4+1/'Регрессия'!$B$2+B77^2/'Регрессия'!$B$5)+'Регрессия'!$B$10+B77^2*'Регрессия'!$B$9+2*B77*'Регрессия'!$B$11,'Взвешенная регрессия'!$B$124*(1/'Ввод'!$B$4+1/COUNTIFS('Взвешенная регрессия'!$A$11:$A$110,"&gt;=0"))+B77^2*'Взвешенная регрессия'!$B$125+'Взвешенная регрессия'!$B$126+2*B77*'Взвешенная регрессия'!$B$127)/IF('Ввод'!$B$6=1,'Регрессия'!$B$7,'Взвешенная регрессия'!$B$120)^2</f>
        <v/>
      </c>
      <c r="D77" s="6">
        <f>IF(C77&lt;0,NA(),SQRT(C77))</f>
        <v/>
      </c>
      <c r="E77" s="6">
        <f>SQRT(D77^2+(A77*'Ввод'!$B$5)^2)</f>
        <v/>
      </c>
      <c r="F77" s="6">
        <f>2*E77</f>
        <v/>
      </c>
      <c r="G77" s="6">
        <f>IF(ABS(A77-'Неопределенность'!$B$1)&lt;=$B$2/2,"← x_pred","")</f>
        <v/>
      </c>
    </row>
    <row r="78">
      <c r="A78" s="6">
        <f>MIN('Ввод'!$B$9:$B$108)+(ROW()-4)*$B$2</f>
        <v/>
      </c>
      <c r="B78" s="6">
        <f>IF('Ввод'!$B$6=1,A78-'Регрессия'!$B$3,A78-'Взвешенная регрессия'!$B$128+'Взвешенная регрессия'!$B$121/'Взвешенная регрессия'!$B$120)</f>
        <v/>
      </c>
      <c r="C78" s="6">
        <f>IF('Ввод'!$B$6=1,'Регрессия'!$B$6*(1/'Ввод'!$B$4+1/'Регрессия'!$B$2+B78^2/'Регрессия'!$B$5)+'Регрессия'!$B$10+B78^2*'Регрессия'!$B$9+2*B78*'Регрессия'!$B$11,'Взвешенная регрессия'!$B$124*(1/'Ввод'!$B$4+1/COUNTIFS('Взвешенная регрессия'!$A$11:$A$110,"&gt;=0"))+B78^2*'Взвешенная регрессия'!$B$125+'Взвешенная регрессия'!$B$126+2*B78*'Взвешенная регрессия'!$B$127)/IF('Ввод'!$B$6=1,'Регрессия'!$B$7,'Взвешенная регрессия'!$B$120)^2</f>
        <v/>
      </c>
      <c r="D78" s="6">
        <f>IF(C78&lt;0,NA(),SQRT(C78))</f>
        <v/>
      </c>
      <c r="E78" s="6">
        <f>SQRT(D78^2+(A78*'Ввод'!$B$5)^2)</f>
        <v/>
      </c>
      <c r="F78" s="6">
        <f>2*E78</f>
        <v/>
      </c>
      <c r="G78" s="6">
        <f>IF(ABS(A78-'Неопределенность'!$B$1)&lt;=$B$2/2,"← x_pred","")</f>
        <v/>
      </c>
    </row>
    <row r="79">
      <c r="A79" s="6">
        <f>MIN('Ввод'!$B$9:$B$108)+(ROW()-4)*$B$2</f>
        <v/>
      </c>
      <c r="B79" s="6">
        <f>IF('Ввод'!$B$6=1,A79-'Регрессия'!$B$3,A79-'Взвешенная регрессия'!$B$128+'Взвешенная регрессия'!$B$121/'Взвешенная регрессия'!$B$120)</f>
        <v/>
      </c>
      <c r="C79" s="6">
        <f>IF('Ввод'!$B$6=1,'Регрессия'!$B$6*(1/'Ввод'!$B$4+1/'Регрессия'!$B$2+B79^2/'Регрессия'!$B$5)+'Регрессия'!$B$10+B79^2*'Регрессия'!$B$9+2*B79*'Регрессия'!$B$11,'Взвешенная регрессия'!$B$124*(1/'Ввод'!$B$4+1/COUNTIFS('Взвешенная регрессия'!$A$11:$A$110,"&gt;=0"))+B79^2*'Взвешенная регрессия'!$B$125+'Взвешенная регрессия'!$B$126+2*B79*'Взвешенная регрессия'!$B$127)/IF('Ввод'!$B$6=1,'Регрессия'!$B$7,'Взвешенная регрессия'!$B$120)^2</f>
        <v/>
      </c>
      <c r="D79" s="6">
        <f>IF(C79&lt;0,NA(),SQRT(C79))</f>
        <v/>
      </c>
      <c r="E79" s="6">
        <f>SQRT(D79^2+(A79*'Ввод'!$B$5)^2)</f>
        <v/>
      </c>
      <c r="F79" s="6">
        <f>2*E79</f>
        <v/>
      </c>
      <c r="G79" s="6">
        <f>IF(ABS(A79-'Неопределенность'!$B$1)&lt;=$B$2/2,"← x_pred","")</f>
        <v/>
      </c>
    </row>
    <row r="80">
      <c r="A80" s="6">
        <f>MIN('Ввод'!$B$9:$B$108)+(ROW()-4)*$B$2</f>
        <v/>
      </c>
      <c r="B80" s="6">
        <f>IF('Ввод'!$B$6=1,A80-'Регрессия'!$B$3,A80-'Взвешенная регрессия'!$B$128+'Взвешенная регрессия'!$B$121/'Взвешенная регрессия'!$B$120)</f>
        <v/>
      </c>
      <c r="C80" s="6">
        <f>IF('Ввод'!$B$6=1,'Регрессия'!$B$6*(1/'Ввод'!$B$4+1/'Регрессия'!$B$2+B80^2/'Регрессия'!$B$5)+'Регрессия'!$B$10+B80^2*'Регрессия'!$B$9+2*B80*'Регрессия'!$B$11,'Взвешенная регрессия'!$B$124*(1/'Ввод'!$B$4+1/COUNTIFS('Взвешенная регрессия'!$A$11:$A$110,"&gt;=0"))+B80^2*'Взвешенная регрессия'!$B$125+'Взвешенная регрессия'!$B$126+2*B80*'Взвешенная регрессия'!$B$127)/IF('Ввод'!$B$6=1,'Регрессия'!$B$7,'Взвешенная регрессия'!$B$120)^2</f>
        <v/>
      </c>
      <c r="D80" s="6">
        <f>IF(C80&lt;0,NA(),SQRT(C80))</f>
        <v/>
      </c>
      <c r="E80" s="6">
        <f>SQRT(D80^2+(A80*'Ввод'!$B$5)^2)</f>
        <v/>
      </c>
      <c r="F80" s="6">
        <f>2*E80</f>
        <v/>
      </c>
      <c r="G80" s="6">
        <f>IF(ABS(A80-'Неопределенность'!$B$1)&lt;=$B$2/2,"← x_pred","")</f>
        <v/>
      </c>
    </row>
    <row r="81">
      <c r="A81" s="6">
        <f>MIN('Ввод'!$B$9:$B$108)+(ROW()-4)*$B$2</f>
        <v/>
      </c>
      <c r="B81" s="6">
        <f>IF('Ввод'!$B$6=1,A81-'Регрессия'!$B$3,A81-'Взвешенная регрессия'!$B$128+'Взвешенная регрессия'!$B$121/'Взвешенная регрессия'!$B$120)</f>
        <v/>
      </c>
      <c r="C81" s="6">
        <f>IF('Ввод'!$B$6=1,'Регрессия'!$B$6*(1/'Ввод'!$B$4+1/'Регрессия'!$B$2+B81^2/'Регрессия'!$B$5)+'Регрессия'!$B$10+B81^2*'Регрессия'!$B$9+2*B81*'Регрессия'!$B$11,'Взвешенная регрессия'!$B$124*(1/'Ввод'!$B$4+1/COUNTIFS('Взвешенная регрессия'!$A$11:$A$110,"&gt;=0"))+B81^2*'Взвешенная регрессия'!$B$125+'Взвешенная регрессия'!$B$126+2*B81*'Взвешенная регрессия'!$B$127)/IF('Ввод'!$B$6=1,'Регрессия'!$B$7,'Взвешенная регрессия'!$B$120)^2</f>
        <v/>
      </c>
      <c r="D81" s="6">
        <f>IF(C81&lt;0,NA(),SQRT(C81))</f>
        <v/>
      </c>
      <c r="E81" s="6">
        <f>SQRT(D81^2+(A81*'Ввод'!$B$5)^2)</f>
        <v/>
      </c>
      <c r="F81" s="6">
        <f>2*E81</f>
        <v/>
      </c>
      <c r="G81" s="6">
        <f>IF(ABS(A81-'Неопределенность'!$B$1)&lt;=$B$2/2,"← x_pred","")</f>
        <v/>
      </c>
    </row>
    <row r="82">
      <c r="A82" s="6">
        <f>MIN('Ввод'!$B$9:$B$108)+(ROW()-4)*$B$2</f>
        <v/>
      </c>
      <c r="B82" s="6">
        <f>IF('Ввод'!$B$6=1,A82-'Регрессия'!$B$3,A82-'Взвешенная регрессия'!$B$128+'Взвешенная регрессия'!$B$121/'Взвешенная регрессия'!$B$120)</f>
        <v/>
      </c>
      <c r="C82" s="6">
        <f>IF('Ввод'!$B$6=1,'Регрессия'!$B$6*(1/'Ввод'!$B$4+1/'Регрессия'!$B$2+B82^2/'Регрессия'!$B$5)+'Регрессия'!$B$10+B82^2*'Регрессия'!$B$9+2*B82*'Регрессия'!$B$11,'Взвешенная регрессия'!$B$124*(1/'Ввод'!$B$4+1/COUNTIFS('Взвешенная регрессия'!$A$11:$A$110,"&gt;=0"))+B82^2*'Взвешенная регрессия'!$B$125+'Взвешенная регрессия'!$B$126+2*B82*'Взвешенная регрессия'!$B$127)/IF('Ввод'!$B$6=1,'Регрессия'!$B$7,'Взвешенная регрессия'!$B$120)^2</f>
        <v/>
      </c>
      <c r="D82" s="6">
        <f>IF(C82&lt;0,NA(),SQRT(C82))</f>
        <v/>
      </c>
      <c r="E82" s="6">
        <f>SQRT(D82^2+(A82*'Ввод'!$B$5)^2)</f>
        <v/>
      </c>
      <c r="F82" s="6">
        <f>2*E82</f>
        <v/>
      </c>
      <c r="G82" s="6">
        <f>IF(ABS(A82-'Неопределенность'!$B$1)&lt;=$B$2/2,"← x_pred","")</f>
        <v/>
      </c>
    </row>
    <row r="83">
      <c r="A83" s="6">
        <f>MIN('Ввод'!$B$9:$B$108)+(ROW()-4)*$B$2</f>
        <v/>
      </c>
      <c r="B83" s="6">
        <f>IF('Ввод'!$B$6=1,A83-'Регрессия'!$B$3,A83-'Взвешенная регрессия'!$B$128+'Взвешенная регрессия'!$B$121/'Взвешенная регрессия'!$B$120)</f>
        <v/>
      </c>
      <c r="C83" s="6">
        <f>IF('Ввод'!$B$6=1,'Регрессия'!$B$6*(1/'Ввод'!$B$4+1/'Регрессия'!$B$2+B83^2/'Регрессия'!$B$5)+'Регрессия'!$B$10+B83^2*'Регрессия'!$B$9+2*B83*'Регрессия'!$B$11,'Взвешенная регрессия'!$B$124*(1/'Ввод'!$B$4+1/COUNTIFS('Взвешенная регрессия'!$A$11:$A$110,"&gt;=0"))+B83^2*'Взвешенная регрессия'!$B$125+'Взвешенная регрессия'!$B$126+2*B83*'Взвешенная регрессия'!$B$127)/IF('Ввод'!$B$6=1,'Регрессия'!$B$7,'Взвешенная регрессия'!$B$120)^2</f>
        <v/>
      </c>
      <c r="D83" s="6">
        <f>IF(C83&lt;0,NA(),SQRT(C83))</f>
        <v/>
      </c>
      <c r="E83" s="6">
        <f>SQRT(D83^2+(A83*'Ввод'!$B$5)^2)</f>
        <v/>
      </c>
      <c r="F83" s="6">
        <f>2*E83</f>
        <v/>
      </c>
      <c r="G83" s="6">
        <f>IF(ABS(A83-'Неопределенность'!$B$1)&lt;=$B$2/2,"← x_pred","")</f>
        <v/>
      </c>
    </row>
    <row r="84">
      <c r="A84" s="6">
        <f>MIN('Ввод'!$B$9:$B$108)+(ROW()-4)*$B$2</f>
        <v/>
      </c>
      <c r="B84" s="6">
        <f>IF('Ввод'!$B$6=1,A84-'Регрессия'!$B$3,A84-'Взвешенная регрессия'!$B$128+'Взвешенная регрессия'!$B$121/'Взвешенная регрессия'!$B$120)</f>
        <v/>
      </c>
      <c r="C84" s="6">
        <f>IF('Ввод'!$B$6=1,'Регрессия'!$B$6*(1/'Ввод'!$B$4+1/'Регрессия'!$B$2+B84^2/'Регрессия'!$B$5)+'Регрессия'!$B$10+B84^2*'Регрессия'!$B$9+2*B84*'Регрессия'!$B$11,'Взвешенная регрессия'!$B$124*(1/'Ввод'!$B$4+1/COUNTIFS('Взвешенная регрессия'!$A$11:$A$110,"&gt;=0"))+B84^2*'Взвешенная регрессия'!$B$125+'Взвешенная регрессия'!$B$126+2*B84*'Взвешенная регрессия'!$B$127)/IF('Ввод'!$B$6=1,'Регрессия'!$B$7,'Взвешенная регрессия'!$B$120)^2</f>
        <v/>
      </c>
      <c r="D84" s="6">
        <f>IF(C84&lt;0,NA(),SQRT(C84))</f>
        <v/>
      </c>
      <c r="E84" s="6">
        <f>SQRT(D84^2+(A84*'Ввод'!$B$5)^2)</f>
        <v/>
      </c>
      <c r="F84" s="6">
        <f>2*E84</f>
        <v/>
      </c>
      <c r="G84" s="6">
        <f>IF(ABS(A84-'Неопределенность'!$B$1)&lt;=$B$2/2,"← x_pred","")</f>
        <v/>
      </c>
    </row>
    <row r="85">
      <c r="A85" s="6">
        <f>MIN('Ввод'!$B$9:$B$108)+(ROW()-4)*$B$2</f>
        <v/>
      </c>
      <c r="B85" s="6">
        <f>IF('Ввод'!$B$6=1,A85-'Регрессия'!$B$3,A85-'Взвешенная регрессия'!$B$128+'Взвешенная регрессия'!$B$121/'Взвешенная регрессия'!$B$120)</f>
        <v/>
      </c>
      <c r="C85" s="6">
        <f>IF('Ввод'!$B$6=1,'Регрессия'!$B$6*(1/'Ввод'!$B$4+1/'Регрессия'!$B$2+B85^2/'Регрессия'!$B$5)+'Регрессия'!$B$10+B85^2*'Регрессия'!$B$9+2*B85*'Регрессия'!$B$11,'Взвешенная регрессия'!$B$124*(1/'Ввод'!$B$4+1/COUNTIFS('Взвешенная регрессия'!$A$11:$A$110,"&gt;=0"))+B85^2*'Взвешенная регрессия'!$B$125+'Взвешенная регрессия'!$B$126+2*B85*'Взвешенная регрессия'!$B$127)/IF('Ввод'!$B$6=1,'Регрессия'!$B$7,'Взвешенная регрессия'!$B$120)^2</f>
        <v/>
      </c>
      <c r="D85" s="6">
        <f>IF(C85&lt;0,NA(),SQRT(C85))</f>
        <v/>
      </c>
      <c r="E85" s="6">
        <f>SQRT(D85^2+(A85*'Ввод'!$B$5)^2)</f>
        <v/>
      </c>
      <c r="F85" s="6">
        <f>2*E85</f>
        <v/>
      </c>
      <c r="G85" s="6">
        <f>IF(ABS(A85-'Неопределенность'!$B$1)&lt;=$B$2/2,"← x_pred","")</f>
        <v/>
      </c>
    </row>
    <row r="86">
      <c r="A86" s="6">
        <f>MIN('Ввод'!$B$9:$B$108)+(ROW()-4)*$B$2</f>
        <v/>
      </c>
      <c r="B86" s="6">
        <f>IF('Ввод'!$B$6=1,A86-'Регрессия'!$B$3,A86-'Взвешенная регрессия'!$B$128+'Взвешенная регрессия'!$B$121/'Взвешенная регрессия'!$B$120)</f>
        <v/>
      </c>
      <c r="C86" s="6">
        <f>IF('Ввод'!$B$6=1,'Регрессия'!$B$6*(1/'Ввод'!$B$4+1/'Регрессия'!$B$2+B86^2/'Регрессия'!$B$5)+'Регрессия'!$B$10+B86^2*'Регрессия'!$B$9+2*B86*'Регрессия'!$B$11,'Взвешенная регрессия'!$B$124*(1/'Ввод'!$B$4+1/COUNTIFS('Взвешенная регрессия'!$A$11:$A$110,"&gt;=0"))+B86^2*'Взвешенная регрессия'!$B$125+'Взвешенная регрессия'!$B$126+2*B86*'Взвешенная регрессия'!$B$127)/IF('Ввод'!$B$6=1,'Регрессия'!$B$7,'Взвешенная регрессия'!$B$120)^2</f>
        <v/>
      </c>
      <c r="D86" s="6">
        <f>IF(C86&lt;0,NA(),SQRT(C86))</f>
        <v/>
      </c>
      <c r="E86" s="6">
        <f>SQRT(D86^2+(A86*'Ввод'!$B$5)^2)</f>
        <v/>
      </c>
      <c r="F86" s="6">
        <f>2*E86</f>
        <v/>
      </c>
      <c r="G86" s="6">
        <f>IF(ABS(A86-'Неопределенность'!$B$1)&lt;=$B$2/2,"← x_pred","")</f>
        <v/>
      </c>
    </row>
    <row r="87">
      <c r="A87" s="6">
        <f>MIN('Ввод'!$B$9:$B$108)+(ROW()-4)*$B$2</f>
        <v/>
      </c>
      <c r="B87" s="6">
        <f>IF('Ввод'!$B$6=1,A87-'Регрессия'!$B$3,A87-'Взвешенная регрессия'!$B$128+'Взвешенная регрессия'!$B$121/'Взвешенная регрессия'!$B$120)</f>
        <v/>
      </c>
      <c r="C87" s="6">
        <f>IF('Ввод'!$B$6=1,'Регрессия'!$B$6*(1/'Ввод'!$B$4+1/'Регрессия'!$B$2+B87^2/'Регрессия'!$B$5)+'Регрессия'!$B$10+B87^2*'Регрессия'!$B$9+2*B87*'Регрессия'!$B$11,'Взвешенная регрессия'!$B$124*(1/'Ввод'!$B$4+1/COUNTIFS('Взвешенная регрессия'!$A$11:$A$110,"&gt;=0"))+B87^2*'Взвешенная регрессия'!$B$125+'Взвешенная регрессия'!$B$126+2*B87*'Взвешенная регрессия'!$B$127)/IF('Ввод'!$B$6=1,'Регрессия'!$B$7,'Взвешенная регрессия'!$B$120)^2</f>
        <v/>
      </c>
      <c r="D87" s="6">
        <f>IF(C87&lt;0,NA(),SQRT(C87))</f>
        <v/>
      </c>
      <c r="E87" s="6">
        <f>SQRT(D87^2+(A87*'Ввод'!$B$5)^2)</f>
        <v/>
      </c>
      <c r="F87" s="6">
        <f>2*E87</f>
        <v/>
      </c>
      <c r="G87" s="6">
        <f>IF(ABS(A87-'Неопределенность'!$B$1)&lt;=$B$2/2,"← x_pred","")</f>
        <v/>
      </c>
    </row>
    <row r="88">
      <c r="A88" s="6">
        <f>MIN('Ввод'!$B$9:$B$108)+(ROW()-4)*$B$2</f>
        <v/>
      </c>
      <c r="B88" s="6">
        <f>IF('Ввод'!$B$6=1,A88-'Регрессия'!$B$3,A88-'Взвешенная регрессия'!$B$128+'Взвешенная регрессия'!$B$121/'Взвешенная регрессия'!$B$120)</f>
        <v/>
      </c>
      <c r="C88" s="6">
        <f>IF('Ввод'!$B$6=1,'Регрессия'!$B$6*(1/'Ввод'!$B$4+1/'Регрессия'!$B$2+B88^2/'Регрессия'!$B$5)+'Регрессия'!$B$10+B88^2*'Регрессия'!$B$9+2*B88*'Регрессия'!$B$11,'Взвешенная регрессия'!$B$124*(1/'Ввод'!$B$4+1/COUNTIFS('Взвешенная регрессия'!$A$11:$A$110,"&gt;=0"))+B88^2*'Взвешенная регрессия'!$B$125+'Взвешенная регрессия'!$B$126+2*B88*'Взвешенная регрессия'!$B$127)/IF('Ввод'!$B$6=1,'Регрессия'!$B$7,'Взвешенная регрессия'!$B$120)^2</f>
        <v/>
      </c>
      <c r="D88" s="6">
        <f>IF(C88&lt;0,NA(),SQRT(C88))</f>
        <v/>
      </c>
      <c r="E88" s="6">
        <f>SQRT(D88^2+(A88*'Ввод'!$B$5)^2)</f>
        <v/>
      </c>
      <c r="F88" s="6">
        <f>2*E88</f>
        <v/>
      </c>
      <c r="G88" s="6">
        <f>IF(ABS(A88-'Неопределенность'!$B$1)&lt;=$B$2/2,"← x_pred","")</f>
        <v/>
      </c>
    </row>
    <row r="89">
      <c r="A89" s="6">
        <f>MIN('Ввод'!$B$9:$B$108)+(ROW()-4)*$B$2</f>
        <v/>
      </c>
      <c r="B89" s="6">
        <f>IF('Ввод'!$B$6=1,A89-'Регрессия'!$B$3,A89-'Взвешенная регрессия'!$B$128+'Взвешенная регрессия'!$B$121/'Взвешенная регрессия'!$B$120)</f>
        <v/>
      </c>
      <c r="C89" s="6">
        <f>IF('Ввод'!$B$6=1,'Регрессия'!$B$6*(1/'Ввод'!$B$4+1/'Регрессия'!$B$2+B89^2/'Регрессия'!$B$5)+'Регрессия'!$B$10+B89^2*'Регрессия'!$B$9+2*B89*'Регрессия'!$B$11,'Взвешенная регрессия'!$B$124*(1/'Ввод'!$B$4+1/COUNTIFS('Взвешенная регрессия'!$A$11:$A$110,"&gt;=0"))+B89^2*'Взвешенная регрессия'!$B$125+'Взвешенная регрессия'!$B$126+2*B89*'Взвешенная регрессия'!$B$127)/IF('Ввод'!$B$6=1,'Регрессия'!$B$7,'Взвешенная регрессия'!$B$120)^2</f>
        <v/>
      </c>
      <c r="D89" s="6">
        <f>IF(C89&lt;0,NA(),SQRT(C89))</f>
        <v/>
      </c>
      <c r="E89" s="6">
        <f>SQRT(D89^2+(A89*'Ввод'!$B$5)^2)</f>
        <v/>
      </c>
      <c r="F89" s="6">
        <f>2*E89</f>
        <v/>
      </c>
      <c r="G89" s="6">
        <f>IF(ABS(A89-'Неопределенность'!$B$1)&lt;=$B$2/2,"← x_pred","")</f>
        <v/>
      </c>
    </row>
    <row r="90">
      <c r="A90" s="6">
        <f>MIN('Ввод'!$B$9:$B$108)+(ROW()-4)*$B$2</f>
        <v/>
      </c>
      <c r="B90" s="6">
        <f>IF('Ввод'!$B$6=1,A90-'Регрессия'!$B$3,A90-'Взвешенная регрессия'!$B$128+'Взвешенная регрессия'!$B$121/'Взвешенная регрессия'!$B$120)</f>
        <v/>
      </c>
      <c r="C90" s="6">
        <f>IF('Ввод'!$B$6=1,'Регрессия'!$B$6*(1/'Ввод'!$B$4+1/'Регрессия'!$B$2+B90^2/'Регрессия'!$B$5)+'Регрессия'!$B$10+B90^2*'Регрессия'!$B$9+2*B90*'Регрессия'!$B$11,'Взвешенная регрессия'!$B$124*(1/'Ввод'!$B$4+1/COUNTIFS('Взвешенная регрессия'!$A$11:$A$110,"&gt;=0"))+B90^2*'Взвешенная регрессия'!$B$125+'Взвешенная регрессия'!$B$126+2*B90*'Взвешенная регрессия'!$B$127)/IF('Ввод'!$B$6=1,'Регрессия'!$B$7,'Взвешенная регрессия'!$B$120)^2</f>
        <v/>
      </c>
      <c r="D90" s="6">
        <f>IF(C90&lt;0,NA(),SQRT(C90))</f>
        <v/>
      </c>
      <c r="E90" s="6">
        <f>SQRT(D90^2+(A90*'Ввод'!$B$5)^2)</f>
        <v/>
      </c>
      <c r="F90" s="6">
        <f>2*E90</f>
        <v/>
      </c>
      <c r="G90" s="6">
        <f>IF(ABS(A90-'Неопределенность'!$B$1)&lt;=$B$2/2,"← x_pred","")</f>
        <v/>
      </c>
    </row>
    <row r="91">
      <c r="A91" s="6">
        <f>MIN('Ввод'!$B$9:$B$108)+(ROW()-4)*$B$2</f>
        <v/>
      </c>
      <c r="B91" s="6">
        <f>IF('Ввод'!$B$6=1,A91-'Регрессия'!$B$3,A91-'Взвешенная регрессия'!$B$128+'Взвешенная регрессия'!$B$121/'Взвешенная регрессия'!$B$120)</f>
        <v/>
      </c>
      <c r="C91" s="6">
        <f>IF('Ввод'!$B$6=1,'Регрессия'!$B$6*(1/'Ввод'!$B$4+1/'Регрессия'!$B$2+B91^2/'Регрессия'!$B$5)+'Регрессия'!$B$10+B91^2*'Регрессия'!$B$9+2*B91*'Регрессия'!$B$11,'Взвешенная регрессия'!$B$124*(1/'Ввод'!$B$4+1/COUNTIFS('Взвешенная регрессия'!$A$11:$A$110,"&gt;=0"))+B91^2*'Взвешенная регрессия'!$B$125+'Взвешенная регрессия'!$B$126+2*B91*'Взвешенная регрессия'!$B$127)/IF('Ввод'!$B$6=1,'Регрессия'!$B$7,'Взвешенная регрессия'!$B$120)^2</f>
        <v/>
      </c>
      <c r="D91" s="6">
        <f>IF(C91&lt;0,NA(),SQRT(C91))</f>
        <v/>
      </c>
      <c r="E91" s="6">
        <f>SQRT(D91^2+(A91*'Ввод'!$B$5)^2)</f>
        <v/>
      </c>
      <c r="F91" s="6">
        <f>2*E91</f>
        <v/>
      </c>
      <c r="G91" s="6">
        <f>IF(ABS(A91-'Неопределенность'!$B$1)&lt;=$B$2/2,"← x_pred","")</f>
        <v/>
      </c>
    </row>
    <row r="92">
      <c r="A92" s="6">
        <f>MIN('Ввод'!$B$9:$B$108)+(ROW()-4)*$B$2</f>
        <v/>
      </c>
      <c r="B92" s="6">
        <f>IF('Ввод'!$B$6=1,A92-'Регрессия'!$B$3,A92-'Взвешенная регрессия'!$B$128+'Взвешенная регрессия'!$B$121/'Взвешенная регрессия'!$B$120)</f>
        <v/>
      </c>
      <c r="C92" s="6">
        <f>IF('Ввод'!$B$6=1,'Регрессия'!$B$6*(1/'Ввод'!$B$4+1/'Регрессия'!$B$2+B92^2/'Регрессия'!$B$5)+'Регрессия'!$B$10+B92^2*'Регрессия'!$B$9+2*B92*'Регрессия'!$B$11,'Взвешенная регрессия'!$B$124*(1/'Ввод'!$B$4+1/COUNTIFS('Взвешенная регрессия'!$A$11:$A$110,"&gt;=0"))+B92^2*'Взвешенная регрессия'!$B$125+'Взвешенная регрессия'!$B$126+2*B92*'Взвешенная регрессия'!$B$127)/IF('Ввод'!$B$6=1,'Регрессия'!$B$7,'Взвешенная регрессия'!$B$120)^2</f>
        <v/>
      </c>
      <c r="D92" s="6">
        <f>IF(C92&lt;0,NA(),SQRT(C92))</f>
        <v/>
      </c>
      <c r="E92" s="6">
        <f>SQRT(D92^2+(A92*'Ввод'!$B$5)^2)</f>
        <v/>
      </c>
      <c r="F92" s="6">
        <f>2*E92</f>
        <v/>
      </c>
      <c r="G92" s="6">
        <f>IF(ABS(A92-'Неопределенность'!$B$1)&lt;=$B$2/2,"← x_pred","")</f>
        <v/>
      </c>
    </row>
    <row r="93">
      <c r="A93" s="6">
        <f>MIN('Ввод'!$B$9:$B$108)+(ROW()-4)*$B$2</f>
        <v/>
      </c>
      <c r="B93" s="6">
        <f>IF('Ввод'!$B$6=1,A93-'Регрессия'!$B$3,A93-'Взвешенная регрессия'!$B$128+'Взвешенная регрессия'!$B$121/'Взвешенная регрессия'!$B$120)</f>
        <v/>
      </c>
      <c r="C93" s="6">
        <f>IF('Ввод'!$B$6=1,'Регрессия'!$B$6*(1/'Ввод'!$B$4+1/'Регрессия'!$B$2+B93^2/'Регрессия'!$B$5)+'Регрессия'!$B$10+B93^2*'Регрессия'!$B$9+2*B93*'Регрессия'!$B$11,'Взвешенная регрессия'!$B$124*(1/'Ввод'!$B$4+1/COUNTIFS('Взвешенная регрессия'!$A$11:$A$110,"&gt;=0"))+B93^2*'Взвешенная регрессия'!$B$125+'Взвешенная регрессия'!$B$126+2*B93*'Взвешенная регрессия'!$B$127)/IF('Ввод'!$B$6=1,'Регрессия'!$B$7,'Взвешенная регрессия'!$B$120)^2</f>
        <v/>
      </c>
      <c r="D93" s="6">
        <f>IF(C93&lt;0,NA(),SQRT(C93))</f>
        <v/>
      </c>
      <c r="E93" s="6">
        <f>SQRT(D93^2+(A93*'Ввод'!$B$5)^2)</f>
        <v/>
      </c>
      <c r="F93" s="6">
        <f>2*E93</f>
        <v/>
      </c>
      <c r="G93" s="6">
        <f>IF(ABS(A93-'Неопределенность'!$B$1)&lt;=$B$2/2,"← x_pred","")</f>
        <v/>
      </c>
    </row>
    <row r="94">
      <c r="A94" s="6">
        <f>MIN('Ввод'!$B$9:$B$108)+(ROW()-4)*$B$2</f>
        <v/>
      </c>
      <c r="B94" s="6">
        <f>IF('Ввод'!$B$6=1,A94-'Регрессия'!$B$3,A94-'Взвешенная регрессия'!$B$128+'Взвешенная регрессия'!$B$121/'Взвешенная регрессия'!$B$120)</f>
        <v/>
      </c>
      <c r="C94" s="6">
        <f>IF('Ввод'!$B$6=1,'Регрессия'!$B$6*(1/'Ввод'!$B$4+1/'Регрессия'!$B$2+B94^2/'Регрессия'!$B$5)+'Регрессия'!$B$10+B94^2*'Регрессия'!$B$9+2*B94*'Регрессия'!$B$11,'Взвешенная регрессия'!$B$124*(1/'Ввод'!$B$4+1/COUNTIFS('Взвешенная регрессия'!$A$11:$A$110,"&gt;=0"))+B94^2*'Взвешенная регрессия'!$B$125+'Взвешенная регрессия'!$B$126+2*B94*'Взвешенная регрессия'!$B$127)/IF('Ввод'!$B$6=1,'Регрессия'!$B$7,'Взвешенная регрессия'!$B$120)^2</f>
        <v/>
      </c>
      <c r="D94" s="6">
        <f>IF(C94&lt;0,NA(),SQRT(C94))</f>
        <v/>
      </c>
      <c r="E94" s="6">
        <f>SQRT(D94^2+(A94*'Ввод'!$B$5)^2)</f>
        <v/>
      </c>
      <c r="F94" s="6">
        <f>2*E94</f>
        <v/>
      </c>
      <c r="G94" s="6">
        <f>IF(ABS(A94-'Неопределенность'!$B$1)&lt;=$B$2/2,"← x_pred","")</f>
        <v/>
      </c>
    </row>
    <row r="95">
      <c r="A95" s="6">
        <f>MIN('Ввод'!$B$9:$B$108)+(ROW()-4)*$B$2</f>
        <v/>
      </c>
      <c r="B95" s="6">
        <f>IF('Ввод'!$B$6=1,A95-'Регрессия'!$B$3,A95-'Взвешенная регрессия'!$B$128+'Взвешенная регрессия'!$B$121/'Взвешенная регрессия'!$B$120)</f>
        <v/>
      </c>
      <c r="C95" s="6">
        <f>IF('Ввод'!$B$6=1,'Регрессия'!$B$6*(1/'Ввод'!$B$4+1/'Регрессия'!$B$2+B95^2/'Регрессия'!$B$5)+'Регрессия'!$B$10+B95^2*'Регрессия'!$B$9+2*B95*'Регрессия'!$B$11,'Взвешенная регрессия'!$B$124*(1/'Ввод'!$B$4+1/COUNTIFS('Взвешенная регрессия'!$A$11:$A$110,"&gt;=0"))+B95^2*'Взвешенная регрессия'!$B$125+'Взвешенная регрессия'!$B$126+2*B95*'Взвешенная регрессия'!$B$127)/IF('Ввод'!$B$6=1,'Регрессия'!$B$7,'Взвешенная регрессия'!$B$120)^2</f>
        <v/>
      </c>
      <c r="D95" s="6">
        <f>IF(C95&lt;0,NA(),SQRT(C95))</f>
        <v/>
      </c>
      <c r="E95" s="6">
        <f>SQRT(D95^2+(A95*'Ввод'!$B$5)^2)</f>
        <v/>
      </c>
      <c r="F95" s="6">
        <f>2*E95</f>
        <v/>
      </c>
      <c r="G95" s="6">
        <f>IF(ABS(A95-'Неопределенность'!$B$1)&lt;=$B$2/2,"← x_pred","")</f>
        <v/>
      </c>
    </row>
    <row r="96">
      <c r="A96" s="6">
        <f>MIN('Ввод'!$B$9:$B$108)+(ROW()-4)*$B$2</f>
        <v/>
      </c>
      <c r="B96" s="6">
        <f>IF('Ввод'!$B$6=1,A96-'Регрессия'!$B$3,A96-'Взвешенная регрессия'!$B$128+'Взвешенная регрессия'!$B$121/'Взвешенная регрессия'!$B$120)</f>
        <v/>
      </c>
      <c r="C96" s="6">
        <f>IF('Ввод'!$B$6=1,'Регрессия'!$B$6*(1/'Ввод'!$B$4+1/'Регрессия'!$B$2+B96^2/'Регрессия'!$B$5)+'Регрессия'!$B$10+B96^2*'Регрессия'!$B$9+2*B96*'Регрессия'!$B$11,'Взвешенная регрессия'!$B$124*(1/'Ввод'!$B$4+1/COUNTIFS('Взвешенная регрессия'!$A$11:$A$110,"&gt;=0"))+B96^2*'Взвешенная регрессия'!$B$125+'Взвешенная регрессия'!$B$126+2*B96*'Взвешенная регрессия'!$B$127)/IF('Ввод'!$B$6=1,'Регрессия'!$B$7,'Взвешенная регрессия'!$B$120)^2</f>
        <v/>
      </c>
      <c r="D96" s="6">
        <f>IF(C96&lt;0,NA(),SQRT(C96))</f>
        <v/>
      </c>
      <c r="E96" s="6">
        <f>SQRT(D96^2+(A96*'Ввод'!$B$5)^2)</f>
        <v/>
      </c>
      <c r="F96" s="6">
        <f>2*E96</f>
        <v/>
      </c>
      <c r="G96" s="6">
        <f>IF(ABS(A96-'Неопределенность'!$B$1)&lt;=$B$2/2,"← x_pred","")</f>
        <v/>
      </c>
    </row>
    <row r="97">
      <c r="A97" s="6">
        <f>MIN('Ввод'!$B$9:$B$108)+(ROW()-4)*$B$2</f>
        <v/>
      </c>
      <c r="B97" s="6">
        <f>IF('Ввод'!$B$6=1,A97-'Регрессия'!$B$3,A97-'Взвешенная регрессия'!$B$128+'Взвешенная регрессия'!$B$121/'Взвешенная регрессия'!$B$120)</f>
        <v/>
      </c>
      <c r="C97" s="6">
        <f>IF('Ввод'!$B$6=1,'Регрессия'!$B$6*(1/'Ввод'!$B$4+1/'Регрессия'!$B$2+B97^2/'Регрессия'!$B$5)+'Регрессия'!$B$10+B97^2*'Регрессия'!$B$9+2*B97*'Регрессия'!$B$11,'Взвешенная регрессия'!$B$124*(1/'Ввод'!$B$4+1/COUNTIFS('Взвешенная регрессия'!$A$11:$A$110,"&gt;=0"))+B97^2*'Взвешенная регрессия'!$B$125+'Взвешенная регрессия'!$B$126+2*B97*'Взвешенная регрессия'!$B$127)/IF('Ввод'!$B$6=1,'Регрессия'!$B$7,'Взвешенная регрессия'!$B$120)^2</f>
        <v/>
      </c>
      <c r="D97" s="6">
        <f>IF(C97&lt;0,NA(),SQRT(C97))</f>
        <v/>
      </c>
      <c r="E97" s="6">
        <f>SQRT(D97^2+(A97*'Ввод'!$B$5)^2)</f>
        <v/>
      </c>
      <c r="F97" s="6">
        <f>2*E97</f>
        <v/>
      </c>
      <c r="G97" s="6">
        <f>IF(ABS(A97-'Неопределенность'!$B$1)&lt;=$B$2/2,"← x_pred","")</f>
        <v/>
      </c>
    </row>
    <row r="98">
      <c r="A98" s="6">
        <f>MIN('Ввод'!$B$9:$B$108)+(ROW()-4)*$B$2</f>
        <v/>
      </c>
      <c r="B98" s="6">
        <f>IF('Ввод'!$B$6=1,A98-'Регрессия'!$B$3,A98-'Взвешенная регрессия'!$B$128+'Взвешенная регрессия'!$B$121/'Взвешенная регрессия'!$B$120)</f>
        <v/>
      </c>
      <c r="C98" s="6">
        <f>IF('Ввод'!$B$6=1,'Регрессия'!$B$6*(1/'Ввод'!$B$4+1/'Регрессия'!$B$2+B98^2/'Регрессия'!$B$5)+'Регрессия'!$B$10+B98^2*'Регрессия'!$B$9+2*B98*'Регрессия'!$B$11,'Взвешенная регрессия'!$B$124*(1/'Ввод'!$B$4+1/COUNTIFS('Взвешенная регрессия'!$A$11:$A$110,"&gt;=0"))+B98^2*'Взвешенная регрессия'!$B$125+'Взвешенная регрессия'!$B$126+2*B98*'Взвешенная регрессия'!$B$127)/IF('Ввод'!$B$6=1,'Регрессия'!$B$7,'Взвешенная регрессия'!$B$120)^2</f>
        <v/>
      </c>
      <c r="D98" s="6">
        <f>IF(C98&lt;0,NA(),SQRT(C98))</f>
        <v/>
      </c>
      <c r="E98" s="6">
        <f>SQRT(D98^2+(A98*'Ввод'!$B$5)^2)</f>
        <v/>
      </c>
      <c r="F98" s="6">
        <f>2*E98</f>
        <v/>
      </c>
      <c r="G98" s="6">
        <f>IF(ABS(A98-'Неопределенность'!$B$1)&lt;=$B$2/2,"← x_pred","")</f>
        <v/>
      </c>
    </row>
    <row r="99">
      <c r="A99" s="6">
        <f>MIN('Ввод'!$B$9:$B$108)+(ROW()-4)*$B$2</f>
        <v/>
      </c>
      <c r="B99" s="6">
        <f>IF('Ввод'!$B$6=1,A99-'Регрессия'!$B$3,A99-'Взвешенная регрессия'!$B$128+'Взвешенная регрессия'!$B$121/'Взвешенная регрессия'!$B$120)</f>
        <v/>
      </c>
      <c r="C99" s="6">
        <f>IF('Ввод'!$B$6=1,'Регрессия'!$B$6*(1/'Ввод'!$B$4+1/'Регрессия'!$B$2+B99^2/'Регрессия'!$B$5)+'Регрессия'!$B$10+B99^2*'Регрессия'!$B$9+2*B99*'Регрессия'!$B$11,'Взвешенная регрессия'!$B$124*(1/'Ввод'!$B$4+1/COUNTIFS('Взвешенная регрессия'!$A$11:$A$110,"&gt;=0"))+B99^2*'Взвешенная регрессия'!$B$125+'Взвешенная регрессия'!$B$126+2*B99*'Взвешенная регрессия'!$B$127)/IF('Ввод'!$B$6=1,'Регрессия'!$B$7,'Взвешенная регрессия'!$B$120)^2</f>
        <v/>
      </c>
      <c r="D99" s="6">
        <f>IF(C99&lt;0,NA(),SQRT(C99))</f>
        <v/>
      </c>
      <c r="E99" s="6">
        <f>SQRT(D99^2+(A99*'Ввод'!$B$5)^2)</f>
        <v/>
      </c>
      <c r="F99" s="6">
        <f>2*E99</f>
        <v/>
      </c>
      <c r="G99" s="6">
        <f>IF(ABS(A99-'Неопределенность'!$B$1)&lt;=$B$2/2,"← x_pred","")</f>
        <v/>
      </c>
    </row>
    <row r="100">
      <c r="A100" s="6">
        <f>MIN('Ввод'!$B$9:$B$108)+(ROW()-4)*$B$2</f>
        <v/>
      </c>
      <c r="B100" s="6">
        <f>IF('Ввод'!$B$6=1,A100-'Регрессия'!$B$3,A100-'Взвешенная регрессия'!$B$128+'Взвешенная регрессия'!$B$121/'Взвешенная регрессия'!$B$120)</f>
        <v/>
      </c>
      <c r="C100" s="6">
        <f>IF('Ввод'!$B$6=1,'Регрессия'!$B$6*(1/'Ввод'!$B$4+1/'Регрессия'!$B$2+B100^2/'Регрессия'!$B$5)+'Регрессия'!$B$10+B100^2*'Регрессия'!$B$9+2*B100*'Регрессия'!$B$11,'Взвешенная регрессия'!$B$124*(1/'Ввод'!$B$4+1/COUNTIFS('Взвешенная регрессия'!$A$11:$A$110,"&gt;=0"))+B100^2*'Взвешенная регрессия'!$B$125+'Взвешенная регрессия'!$B$126+2*B100*'Взвешенная регрессия'!$B$127)/IF('Ввод'!$B$6=1,'Регрессия'!$B$7,'Взвешенная регрессия'!$B$120)^2</f>
        <v/>
      </c>
      <c r="D100" s="6">
        <f>IF(C100&lt;0,NA(),SQRT(C100))</f>
        <v/>
      </c>
      <c r="E100" s="6">
        <f>SQRT(D100^2+(A100*'Ввод'!$B$5)^2)</f>
        <v/>
      </c>
      <c r="F100" s="6">
        <f>2*E100</f>
        <v/>
      </c>
      <c r="G100" s="6">
        <f>IF(ABS(A100-'Неопределенность'!$B$1)&lt;=$B$2/2,"← x_pred","")</f>
        <v/>
      </c>
    </row>
    <row r="101">
      <c r="A101" s="6">
        <f>MIN('Ввод'!$B$9:$B$108)+(ROW()-4)*$B$2</f>
        <v/>
      </c>
      <c r="B101" s="6">
        <f>IF('Ввод'!$B$6=1,A101-'Регрессия'!$B$3,A101-'Взвешенная регрессия'!$B$128+'Взвешенная регрессия'!$B$121/'Взвешенная регрессия'!$B$120)</f>
        <v/>
      </c>
      <c r="C101" s="6">
        <f>IF('Ввод'!$B$6=1,'Регрессия'!$B$6*(1/'Ввод'!$B$4+1/'Регрессия'!$B$2+B101^2/'Регрессия'!$B$5)+'Регрессия'!$B$10+B101^2*'Регрессия'!$B$9+2*B101*'Регрессия'!$B$11,'Взвешенная регрессия'!$B$124*(1/'Ввод'!$B$4+1/COUNTIFS('Взвешенная регрессия'!$A$11:$A$110,"&gt;=0"))+B101^2*'Взвешенная регрессия'!$B$125+'Взвешенная регрессия'!$B$126+2*B101*'Взвешенная регрессия'!$B$127)/IF('Ввод'!$B$6=1,'Регрессия'!$B$7,'Взвешенная регрессия'!$B$120)^2</f>
        <v/>
      </c>
      <c r="D101" s="6">
        <f>IF(C101&lt;0,NA(),SQRT(C101))</f>
        <v/>
      </c>
      <c r="E101" s="6">
        <f>SQRT(D101^2+(A101*'Ввод'!$B$5)^2)</f>
        <v/>
      </c>
      <c r="F101" s="6">
        <f>2*E101</f>
        <v/>
      </c>
      <c r="G101" s="6">
        <f>IF(ABS(A101-'Неопределенность'!$B$1)&lt;=$B$2/2,"← x_pred","")</f>
        <v/>
      </c>
    </row>
    <row r="102">
      <c r="A102" s="6">
        <f>MIN('Ввод'!$B$9:$B$108)+(ROW()-4)*$B$2</f>
        <v/>
      </c>
      <c r="B102" s="6">
        <f>IF('Ввод'!$B$6=1,A102-'Регрессия'!$B$3,A102-'Взвешенная регрессия'!$B$128+'Взвешенная регрессия'!$B$121/'Взвешенная регрессия'!$B$120)</f>
        <v/>
      </c>
      <c r="C102" s="6">
        <f>IF('Ввод'!$B$6=1,'Регрессия'!$B$6*(1/'Ввод'!$B$4+1/'Регрессия'!$B$2+B102^2/'Регрессия'!$B$5)+'Регрессия'!$B$10+B102^2*'Регрессия'!$B$9+2*B102*'Регрессия'!$B$11,'Взвешенная регрессия'!$B$124*(1/'Ввод'!$B$4+1/COUNTIFS('Взвешенная регрессия'!$A$11:$A$110,"&gt;=0"))+B102^2*'Взвешенная регрессия'!$B$125+'Взвешенная регрессия'!$B$126+2*B102*'Взвешенная регрессия'!$B$127)/IF('Ввод'!$B$6=1,'Регрессия'!$B$7,'Взвешенная регрессия'!$B$120)^2</f>
        <v/>
      </c>
      <c r="D102" s="6">
        <f>IF(C102&lt;0,NA(),SQRT(C102))</f>
        <v/>
      </c>
      <c r="E102" s="6">
        <f>SQRT(D102^2+(A102*'Ввод'!$B$5)^2)</f>
        <v/>
      </c>
      <c r="F102" s="6">
        <f>2*E102</f>
        <v/>
      </c>
      <c r="G102" s="6">
        <f>IF(ABS(A102-'Неопределенность'!$B$1)&lt;=$B$2/2,"← x_pred","")</f>
        <v/>
      </c>
    </row>
    <row r="103">
      <c r="A103" s="6">
        <f>MIN('Ввод'!$B$9:$B$108)+(ROW()-4)*$B$2</f>
        <v/>
      </c>
      <c r="B103" s="6">
        <f>IF('Ввод'!$B$6=1,A103-'Регрессия'!$B$3,A103-'Взвешенная регрессия'!$B$128+'Взвешенная регрессия'!$B$121/'Взвешенная регрессия'!$B$120)</f>
        <v/>
      </c>
      <c r="C103" s="6">
        <f>IF('Ввод'!$B$6=1,'Регрессия'!$B$6*(1/'Ввод'!$B$4+1/'Регрессия'!$B$2+B103^2/'Регрессия'!$B$5)+'Регрессия'!$B$10+B103^2*'Регрессия'!$B$9+2*B103*'Регрессия'!$B$11,'Взвешенная регрессия'!$B$124*(1/'Ввод'!$B$4+1/COUNTIFS('Взвешенная регрессия'!$A$11:$A$110,"&gt;=0"))+B103^2*'Взвешенная регрессия'!$B$125+'Взвешенная регрессия'!$B$126+2*B103*'Взвешенная регрессия'!$B$127)/IF('Ввод'!$B$6=1,'Регрессия'!$B$7,'Взвешенная регрессия'!$B$120)^2</f>
        <v/>
      </c>
      <c r="D103" s="6">
        <f>IF(C103&lt;0,NA(),SQRT(C103))</f>
        <v/>
      </c>
      <c r="E103" s="6">
        <f>SQRT(D103^2+(A103*'Ввод'!$B$5)^2)</f>
        <v/>
      </c>
      <c r="F103" s="6">
        <f>2*E103</f>
        <v/>
      </c>
      <c r="G103" s="6">
        <f>IF(ABS(A103-'Неопределенность'!$B$1)&lt;=$B$2/2,"← x_pred","")</f>
        <v/>
      </c>
    </row>
    <row r="104">
      <c r="A104" s="6">
        <f>MIN('Ввод'!$B$9:$B$108)+(ROW()-4)*$B$2</f>
        <v/>
      </c>
      <c r="B104" s="6">
        <f>IF('Ввод'!$B$6=1,A104-'Регрессия'!$B$3,A104-'Взвешенная регрессия'!$B$128+'Взвешенная регрессия'!$B$121/'Взвешенная регрессия'!$B$120)</f>
        <v/>
      </c>
      <c r="C104" s="6">
        <f>IF('Ввод'!$B$6=1,'Регрессия'!$B$6*(1/'Ввод'!$B$4+1/'Регрессия'!$B$2+B104^2/'Регрессия'!$B$5)+'Регрессия'!$B$10+B104^2*'Регрессия'!$B$9+2*B104*'Регрессия'!$B$11,'Взвешенная регрессия'!$B$124*(1/'Ввод'!$B$4+1/COUNTIFS('Взвешенная регрессия'!$A$11:$A$110,"&gt;=0"))+B104^2*'Взвешенная регрессия'!$B$125+'Взвешенная регрессия'!$B$126+2*B104*'Взвешенная регрессия'!$B$127)/IF('Ввод'!$B$6=1,'Регрессия'!$B$7,'Взвешенная регрессия'!$B$120)^2</f>
        <v/>
      </c>
      <c r="D104" s="6">
        <f>IF(C104&lt;0,NA(),SQRT(C104))</f>
        <v/>
      </c>
      <c r="E104" s="6">
        <f>SQRT(D104^2+(A104*'Ввод'!$B$5)^2)</f>
        <v/>
      </c>
      <c r="F104" s="6">
        <f>2*E104</f>
        <v/>
      </c>
      <c r="G104" s="6">
        <f>IF(ABS(A104-'Неопределенность'!$B$1)&lt;=$B$2/2,"← x_pred","")</f>
        <v/>
      </c>
    </row>
    <row r="105">
      <c r="A105" s="6">
        <f>MIN('Ввод'!$B$9:$B$108)+(ROW()-4)*$B$2</f>
        <v/>
      </c>
      <c r="B105" s="6">
        <f>IF('Ввод'!$B$6=1,A105-'Регрессия'!$B$3,A105-'Взвешенная регрессия'!$B$128+'Взвешенная регрессия'!$B$121/'Взвешенная регрессия'!$B$120)</f>
        <v/>
      </c>
      <c r="C105" s="6">
        <f>IF('Ввод'!$B$6=1,'Регрессия'!$B$6*(1/'Ввод'!$B$4+1/'Регрессия'!$B$2+B105^2/'Регрессия'!$B$5)+'Регрессия'!$B$10+B105^2*'Регрессия'!$B$9+2*B105*'Регрессия'!$B$11,'Взвешенная регрессия'!$B$124*(1/'Ввод'!$B$4+1/COUNTIFS('Взвешенная регрессия'!$A$11:$A$110,"&gt;=0"))+B105^2*'Взвешенная регрессия'!$B$125+'Взвешенная регрессия'!$B$126+2*B105*'Взвешенная регрессия'!$B$127)/IF('Ввод'!$B$6=1,'Регрессия'!$B$7,'Взвешенная регрессия'!$B$120)^2</f>
        <v/>
      </c>
      <c r="D105" s="6">
        <f>IF(C105&lt;0,NA(),SQRT(C105))</f>
        <v/>
      </c>
      <c r="E105" s="6">
        <f>SQRT(D105^2+(A105*'Ввод'!$B$5)^2)</f>
        <v/>
      </c>
      <c r="F105" s="6">
        <f>2*E105</f>
        <v/>
      </c>
      <c r="G105" s="6">
        <f>IF(ABS(A105-'Неопределенность'!$B$1)&lt;=$B$2/2,"← x_pred","")</f>
        <v/>
      </c>
    </row>
    <row r="106">
      <c r="A106" s="6">
        <f>MIN('Ввод'!$B$9:$B$108)+(ROW()-4)*$B$2</f>
        <v/>
      </c>
      <c r="B106" s="6">
        <f>IF('Ввод'!$B$6=1,A106-'Регрессия'!$B$3,A106-'Взвешенная регрессия'!$B$128+'Взвешенная регрессия'!$B$121/'Взвешенная регрессия'!$B$120)</f>
        <v/>
      </c>
      <c r="C106" s="6">
        <f>IF('Ввод'!$B$6=1,'Регрессия'!$B$6*(1/'Ввод'!$B$4+1/'Регрессия'!$B$2+B106^2/'Регрессия'!$B$5)+'Регрессия'!$B$10+B106^2*'Регрессия'!$B$9+2*B106*'Регрессия'!$B$11,'Взвешенная регрессия'!$B$124*(1/'Ввод'!$B$4+1/COUNTIFS('Взвешенная регрессия'!$A$11:$A$110,"&gt;=0"))+B106^2*'Взвешенная регрессия'!$B$125+'Взвешенная регрессия'!$B$126+2*B106*'Взвешенная регрессия'!$B$127)/IF('Ввод'!$B$6=1,'Регрессия'!$B$7,'Взвешенная регрессия'!$B$120)^2</f>
        <v/>
      </c>
      <c r="D106" s="6">
        <f>IF(C106&lt;0,NA(),SQRT(C106))</f>
        <v/>
      </c>
      <c r="E106" s="6">
        <f>SQRT(D106^2+(A106*'Ввод'!$B$5)^2)</f>
        <v/>
      </c>
      <c r="F106" s="6">
        <f>2*E106</f>
        <v/>
      </c>
      <c r="G106" s="6">
        <f>IF(ABS(A106-'Неопределенность'!$B$1)&lt;=$B$2/2,"← x_pred","")</f>
        <v/>
      </c>
    </row>
    <row r="107">
      <c r="A107" s="6">
        <f>MIN('Ввод'!$B$9:$B$108)+(ROW()-4)*$B$2</f>
        <v/>
      </c>
      <c r="B107" s="6">
        <f>IF('Ввод'!$B$6=1,A107-'Регрессия'!$B$3,A107-'Взвешенная регрессия'!$B$128+'Взвешенная регрессия'!$B$121/'Взвешенная регрессия'!$B$120)</f>
        <v/>
      </c>
      <c r="C107" s="6">
        <f>IF('Ввод'!$B$6=1,'Регрессия'!$B$6*(1/'Ввод'!$B$4+1/'Регрессия'!$B$2+B107^2/'Регрессия'!$B$5)+'Регрессия'!$B$10+B107^2*'Регрессия'!$B$9+2*B107*'Регрессия'!$B$11,'Взвешенная регрессия'!$B$124*(1/'Ввод'!$B$4+1/COUNTIFS('Взвешенная регрессия'!$A$11:$A$110,"&gt;=0"))+B107^2*'Взвешенная регрессия'!$B$125+'Взвешенная регрессия'!$B$126+2*B107*'Взвешенная регрессия'!$B$127)/IF('Ввод'!$B$6=1,'Регрессия'!$B$7,'Взвешенная регрессия'!$B$120)^2</f>
        <v/>
      </c>
      <c r="D107" s="6">
        <f>IF(C107&lt;0,NA(),SQRT(C107))</f>
        <v/>
      </c>
      <c r="E107" s="6">
        <f>SQRT(D107^2+(A107*'Ввод'!$B$5)^2)</f>
        <v/>
      </c>
      <c r="F107" s="6">
        <f>2*E107</f>
        <v/>
      </c>
      <c r="G107" s="6">
        <f>IF(ABS(A107-'Неопределенность'!$B$1)&lt;=$B$2/2,"← x_pred","")</f>
        <v/>
      </c>
    </row>
    <row r="108">
      <c r="A108" s="6">
        <f>MIN('Ввод'!$B$9:$B$108)+(ROW()-4)*$B$2</f>
        <v/>
      </c>
      <c r="B108" s="6">
        <f>IF('Ввод'!$B$6=1,A108-'Регрессия'!$B$3,A108-'Взвешенная регрессия'!$B$128+'Взвешенная регрессия'!$B$121/'Взвешенная регрессия'!$B$120)</f>
        <v/>
      </c>
      <c r="C108" s="6">
        <f>IF('Ввод'!$B$6=1,'Регрессия'!$B$6*(1/'Ввод'!$B$4+1/'Регрессия'!$B$2+B108^2/'Регрессия'!$B$5)+'Регрессия'!$B$10+B108^2*'Регрессия'!$B$9+2*B108*'Регрессия'!$B$11,'Взвешенная регрессия'!$B$124*(1/'Ввод'!$B$4+1/COUNTIFS('Взвешенная регрессия'!$A$11:$A$110,"&gt;=0"))+B108^2*'Взвешенная регрессия'!$B$125+'Взвешенная регрессия'!$B$126+2*B108*'Взвешенная регрессия'!$B$127)/IF('Ввод'!$B$6=1,'Регрессия'!$B$7,'Взвешенная регрессия'!$B$120)^2</f>
        <v/>
      </c>
      <c r="D108" s="6">
        <f>IF(C108&lt;0,NA(),SQRT(C108))</f>
        <v/>
      </c>
      <c r="E108" s="6">
        <f>SQRT(D108^2+(A108*'Ввод'!$B$5)^2)</f>
        <v/>
      </c>
      <c r="F108" s="6">
        <f>2*E108</f>
        <v/>
      </c>
      <c r="G108" s="6">
        <f>IF(ABS(A108-'Неопределенность'!$B$1)&lt;=$B$2/2,"← x_pred","")</f>
        <v/>
      </c>
    </row>
    <row r="109">
      <c r="A109" s="6">
        <f>MIN('Ввод'!$B$9:$B$108)+(ROW()-4)*$B$2</f>
        <v/>
      </c>
      <c r="B109" s="6">
        <f>IF('Ввод'!$B$6=1,A109-'Регрессия'!$B$3,A109-'Взвешенная регрессия'!$B$128+'Взвешенная регрессия'!$B$121/'Взвешенная регрессия'!$B$120)</f>
        <v/>
      </c>
      <c r="C109" s="6">
        <f>IF('Ввод'!$B$6=1,'Регрессия'!$B$6*(1/'Ввод'!$B$4+1/'Регрессия'!$B$2+B109^2/'Регрессия'!$B$5)+'Регрессия'!$B$10+B109^2*'Регрессия'!$B$9+2*B109*'Регрессия'!$B$11,'Взвешенная регрессия'!$B$124*(1/'Ввод'!$B$4+1/COUNTIFS('Взвешенная регрессия'!$A$11:$A$110,"&gt;=0"))+B109^2*'Взвешенная регрессия'!$B$125+'Взвешенная регрессия'!$B$126+2*B109*'Взвешенная регрессия'!$B$127)/IF('Ввод'!$B$6=1,'Регрессия'!$B$7,'Взвешенная регрессия'!$B$120)^2</f>
        <v/>
      </c>
      <c r="D109" s="6">
        <f>IF(C109&lt;0,NA(),SQRT(C109))</f>
        <v/>
      </c>
      <c r="E109" s="6">
        <f>SQRT(D109^2+(A109*'Ввод'!$B$5)^2)</f>
        <v/>
      </c>
      <c r="F109" s="6">
        <f>2*E109</f>
        <v/>
      </c>
      <c r="G109" s="6">
        <f>IF(ABS(A109-'Неопределенность'!$B$1)&lt;=$B$2/2,"← x_pred","")</f>
        <v/>
      </c>
    </row>
    <row r="110">
      <c r="A110" s="6">
        <f>MIN('Ввод'!$B$9:$B$108)+(ROW()-4)*$B$2</f>
        <v/>
      </c>
      <c r="B110" s="6">
        <f>IF('Ввод'!$B$6=1,A110-'Регрессия'!$B$3,A110-'Взвешенная регрессия'!$B$128+'Взвешенная регрессия'!$B$121/'Взвешенная регрессия'!$B$120)</f>
        <v/>
      </c>
      <c r="C110" s="6">
        <f>IF('Ввод'!$B$6=1,'Регрессия'!$B$6*(1/'Ввод'!$B$4+1/'Регрессия'!$B$2+B110^2/'Регрессия'!$B$5)+'Регрессия'!$B$10+B110^2*'Регрессия'!$B$9+2*B110*'Регрессия'!$B$11,'Взвешенная регрессия'!$B$124*(1/'Ввод'!$B$4+1/COUNTIFS('Взвешенная регрессия'!$A$11:$A$110,"&gt;=0"))+B110^2*'Взвешенная регрессия'!$B$125+'Взвешенная регрессия'!$B$126+2*B110*'Взвешенная регрессия'!$B$127)/IF('Ввод'!$B$6=1,'Регрессия'!$B$7,'Взвешенная регрессия'!$B$120)^2</f>
        <v/>
      </c>
      <c r="D110" s="6">
        <f>IF(C110&lt;0,NA(),SQRT(C110))</f>
        <v/>
      </c>
      <c r="E110" s="6">
        <f>SQRT(D110^2+(A110*'Ввод'!$B$5)^2)</f>
        <v/>
      </c>
      <c r="F110" s="6">
        <f>2*E110</f>
        <v/>
      </c>
      <c r="G110" s="6">
        <f>IF(ABS(A110-'Неопределенность'!$B$1)&lt;=$B$2/2,"← x_pred","")</f>
        <v/>
      </c>
    </row>
    <row r="111">
      <c r="A111" s="6">
        <f>MIN('Ввод'!$B$9:$B$108)+(ROW()-4)*$B$2</f>
        <v/>
      </c>
      <c r="B111" s="6">
        <f>IF('Ввод'!$B$6=1,A111-'Регрессия'!$B$3,A111-'Взвешенная регрессия'!$B$128+'Взвешенная регрессия'!$B$121/'Взвешенная регрессия'!$B$120)</f>
        <v/>
      </c>
      <c r="C111" s="6">
        <f>IF('Ввод'!$B$6=1,'Регрессия'!$B$6*(1/'Ввод'!$B$4+1/'Регрессия'!$B$2+B111^2/'Регрессия'!$B$5)+'Регрессия'!$B$10+B111^2*'Регрессия'!$B$9+2*B111*'Регрессия'!$B$11,'Взвешенная регрессия'!$B$124*(1/'Ввод'!$B$4+1/COUNTIFS('Взвешенная регрессия'!$A$11:$A$110,"&gt;=0"))+B111^2*'Взвешенная регрессия'!$B$125+'Взвешенная регрессия'!$B$126+2*B111*'Взвешенная регрессия'!$B$127)/IF('Ввод'!$B$6=1,'Регрессия'!$B$7,'Взвешенная регрессия'!$B$120)^2</f>
        <v/>
      </c>
      <c r="D111" s="6">
        <f>IF(C111&lt;0,NA(),SQRT(C111))</f>
        <v/>
      </c>
      <c r="E111" s="6">
        <f>SQRT(D111^2+(A111*'Ввод'!$B$5)^2)</f>
        <v/>
      </c>
      <c r="F111" s="6">
        <f>2*E111</f>
        <v/>
      </c>
      <c r="G111" s="6">
        <f>IF(ABS(A111-'Неопределенность'!$B$1)&lt;=$B$2/2,"← x_pred","")</f>
        <v/>
      </c>
    </row>
    <row r="112">
      <c r="A112" s="6">
        <f>MIN('Ввод'!$B$9:$B$108)+(ROW()-4)*$B$2</f>
        <v/>
      </c>
      <c r="B112" s="6">
        <f>IF('Ввод'!$B$6=1,A112-'Регрессия'!$B$3,A112-'Взвешенная регрессия'!$B$128+'Взвешенная регрессия'!$B$121/'Взвешенная регрессия'!$B$120)</f>
        <v/>
      </c>
      <c r="C112" s="6">
        <f>IF('Ввод'!$B$6=1,'Регрессия'!$B$6*(1/'Ввод'!$B$4+1/'Регрессия'!$B$2+B112^2/'Регрессия'!$B$5)+'Регрессия'!$B$10+B112^2*'Регрессия'!$B$9+2*B112*'Регрессия'!$B$11,'Взвешенная регрессия'!$B$124*(1/'Ввод'!$B$4+1/COUNTIFS('Взвешенная регрессия'!$A$11:$A$110,"&gt;=0"))+B112^2*'Взвешенная регрессия'!$B$125+'Взвешенная регрессия'!$B$126+2*B112*'Взвешенная регрессия'!$B$127)/IF('Ввод'!$B$6=1,'Регрессия'!$B$7,'Взвешенная регрессия'!$B$120)^2</f>
        <v/>
      </c>
      <c r="D112" s="6">
        <f>IF(C112&lt;0,NA(),SQRT(C112))</f>
        <v/>
      </c>
      <c r="E112" s="6">
        <f>SQRT(D112^2+(A112*'Ввод'!$B$5)^2)</f>
        <v/>
      </c>
      <c r="F112" s="6">
        <f>2*E112</f>
        <v/>
      </c>
      <c r="G112" s="6">
        <f>IF(ABS(A112-'Неопределенность'!$B$1)&lt;=$B$2/2,"← x_pred","")</f>
        <v/>
      </c>
    </row>
    <row r="113">
      <c r="A113" s="6">
        <f>MIN('Ввод'!$B$9:$B$108)+(ROW()-4)*$B$2</f>
        <v/>
      </c>
      <c r="B113" s="6">
        <f>IF('Ввод'!$B$6=1,A113-'Регрессия'!$B$3,A113-'Взвешенная регрессия'!$B$128+'Взвешенная регрессия'!$B$121/'Взвешенная регрессия'!$B$120)</f>
        <v/>
      </c>
      <c r="C113" s="6">
        <f>IF('Ввод'!$B$6=1,'Регрессия'!$B$6*(1/'Ввод'!$B$4+1/'Регрессия'!$B$2+B113^2/'Регрессия'!$B$5)+'Регрессия'!$B$10+B113^2*'Регрессия'!$B$9+2*B113*'Регрессия'!$B$11,'Взвешенная регрессия'!$B$124*(1/'Ввод'!$B$4+1/COUNTIFS('Взвешенная регрессия'!$A$11:$A$110,"&gt;=0"))+B113^2*'Взвешенная регрессия'!$B$125+'Взвешенная регрессия'!$B$126+2*B113*'Взвешенная регрессия'!$B$127)/IF('Ввод'!$B$6=1,'Регрессия'!$B$7,'Взвешенная регрессия'!$B$120)^2</f>
        <v/>
      </c>
      <c r="D113" s="6">
        <f>IF(C113&lt;0,NA(),SQRT(C113))</f>
        <v/>
      </c>
      <c r="E113" s="6">
        <f>SQRT(D113^2+(A113*'Ввод'!$B$5)^2)</f>
        <v/>
      </c>
      <c r="F113" s="6">
        <f>2*E113</f>
        <v/>
      </c>
      <c r="G113" s="6">
        <f>IF(ABS(A113-'Неопределенность'!$B$1)&lt;=$B$2/2,"← x_pred","")</f>
        <v/>
      </c>
    </row>
    <row r="114">
      <c r="A114" s="6">
        <f>MIN('Ввод'!$B$9:$B$108)+(ROW()-4)*$B$2</f>
        <v/>
      </c>
      <c r="B114" s="6">
        <f>IF('Ввод'!$B$6=1,A114-'Регрессия'!$B$3,A114-'Взвешенная регрессия'!$B$128+'Взвешенная регрессия'!$B$121/'Взвешенная регрессия'!$B$120)</f>
        <v/>
      </c>
      <c r="C114" s="6">
        <f>IF('Ввод'!$B$6=1,'Регрессия'!$B$6*(1/'Ввод'!$B$4+1/'Регрессия'!$B$2+B114^2/'Регрессия'!$B$5)+'Регрессия'!$B$10+B114^2*'Регрессия'!$B$9+2*B114*'Регрессия'!$B$11,'Взвешенная регрессия'!$B$124*(1/'Ввод'!$B$4+1/COUNTIFS('Взвешенная регрессия'!$A$11:$A$110,"&gt;=0"))+B114^2*'Взвешенная регрессия'!$B$125+'Взвешенная регрессия'!$B$126+2*B114*'Взвешенная регрессия'!$B$127)/IF('Ввод'!$B$6=1,'Регрессия'!$B$7,'Взвешенная регрессия'!$B$120)^2</f>
        <v/>
      </c>
      <c r="D114" s="6">
        <f>IF(C114&lt;0,NA(),SQRT(C114))</f>
        <v/>
      </c>
      <c r="E114" s="6">
        <f>SQRT(D114^2+(A114*'Ввод'!$B$5)^2)</f>
        <v/>
      </c>
      <c r="F114" s="6">
        <f>2*E114</f>
        <v/>
      </c>
      <c r="G114" s="6">
        <f>IF(ABS(A114-'Неопределенность'!$B$1)&lt;=$B$2/2,"← x_pred","")</f>
        <v/>
      </c>
    </row>
    <row r="115">
      <c r="A115" s="6">
        <f>MIN('Ввод'!$B$9:$B$108)+(ROW()-4)*$B$2</f>
        <v/>
      </c>
      <c r="B115" s="6">
        <f>IF('Ввод'!$B$6=1,A115-'Регрессия'!$B$3,A115-'Взвешенная регрессия'!$B$128+'Взвешенная регрессия'!$B$121/'Взвешенная регрессия'!$B$120)</f>
        <v/>
      </c>
      <c r="C115" s="6">
        <f>IF('Ввод'!$B$6=1,'Регрессия'!$B$6*(1/'Ввод'!$B$4+1/'Регрессия'!$B$2+B115^2/'Регрессия'!$B$5)+'Регрессия'!$B$10+B115^2*'Регрессия'!$B$9+2*B115*'Регрессия'!$B$11,'Взвешенная регрессия'!$B$124*(1/'Ввод'!$B$4+1/COUNTIFS('Взвешенная регрессия'!$A$11:$A$110,"&gt;=0"))+B115^2*'Взвешенная регрессия'!$B$125+'Взвешенная регрессия'!$B$126+2*B115*'Взвешенная регрессия'!$B$127)/IF('Ввод'!$B$6=1,'Регрессия'!$B$7,'Взвешенная регрессия'!$B$120)^2</f>
        <v/>
      </c>
      <c r="D115" s="6">
        <f>IF(C115&lt;0,NA(),SQRT(C115))</f>
        <v/>
      </c>
      <c r="E115" s="6">
        <f>SQRT(D115^2+(A115*'Ввод'!$B$5)^2)</f>
        <v/>
      </c>
      <c r="F115" s="6">
        <f>2*E115</f>
        <v/>
      </c>
      <c r="G115" s="6">
        <f>IF(ABS(A115-'Неопределенность'!$B$1)&lt;=$B$2/2,"← x_pred","")</f>
        <v/>
      </c>
    </row>
    <row r="116">
      <c r="A116" s="6">
        <f>MIN('Ввод'!$B$9:$B$108)+(ROW()-4)*$B$2</f>
        <v/>
      </c>
      <c r="B116" s="6">
        <f>IF('Ввод'!$B$6=1,A116-'Регрессия'!$B$3,A116-'Взвешенная регрессия'!$B$128+'Взвешенная регрессия'!$B$121/'Взвешенная регрессия'!$B$120)</f>
        <v/>
      </c>
      <c r="C116" s="6">
        <f>IF('Ввод'!$B$6=1,'Регрессия'!$B$6*(1/'Ввод'!$B$4+1/'Регрессия'!$B$2+B116^2/'Регрессия'!$B$5)+'Регрессия'!$B$10+B116^2*'Регрессия'!$B$9+2*B116*'Регрессия'!$B$11,'Взвешенная регрессия'!$B$124*(1/'Ввод'!$B$4+1/COUNTIFS('Взвешенная регрессия'!$A$11:$A$110,"&gt;=0"))+B116^2*'Взвешенная регрессия'!$B$125+'Взвешенная регрессия'!$B$126+2*B116*'Взвешенная регрессия'!$B$127)/IF('Ввод'!$B$6=1,'Регрессия'!$B$7,'Взвешенная регрессия'!$B$120)^2</f>
        <v/>
      </c>
      <c r="D116" s="6">
        <f>IF(C116&lt;0,NA(),SQRT(C116))</f>
        <v/>
      </c>
      <c r="E116" s="6">
        <f>SQRT(D116^2+(A116*'Ввод'!$B$5)^2)</f>
        <v/>
      </c>
      <c r="F116" s="6">
        <f>2*E116</f>
        <v/>
      </c>
      <c r="G116" s="6">
        <f>IF(ABS(A116-'Неопределенность'!$B$1)&lt;=$B$2/2,"← x_pred","")</f>
        <v/>
      </c>
    </row>
    <row r="117">
      <c r="A117" s="6">
        <f>MIN('Ввод'!$B$9:$B$108)+(ROW()-4)*$B$2</f>
        <v/>
      </c>
      <c r="B117" s="6">
        <f>IF('Ввод'!$B$6=1,A117-'Регрессия'!$B$3,A117-'Взвешенная регрессия'!$B$128+'Взвешенная регрессия'!$B$121/'Взвешенная регрессия'!$B$120)</f>
        <v/>
      </c>
      <c r="C117" s="6">
        <f>IF('Ввод'!$B$6=1,'Регрессия'!$B$6*(1/'Ввод'!$B$4+1/'Регрессия'!$B$2+B117^2/'Регрессия'!$B$5)+'Регрессия'!$B$10+B117^2*'Регрессия'!$B$9+2*B117*'Регрессия'!$B$11,'Взвешенная регрессия'!$B$124*(1/'Ввод'!$B$4+1/COUNTIFS('Взвешенная регрессия'!$A$11:$A$110,"&gt;=0"))+B117^2*'Взвешенная регрессия'!$B$125+'Взвешенная регрессия'!$B$126+2*B117*'Взвешенная регрессия'!$B$127)/IF('Ввод'!$B$6=1,'Регрессия'!$B$7,'Взвешенная регрессия'!$B$120)^2</f>
        <v/>
      </c>
      <c r="D117" s="6">
        <f>IF(C117&lt;0,NA(),SQRT(C117))</f>
        <v/>
      </c>
      <c r="E117" s="6">
        <f>SQRT(D117^2+(A117*'Ввод'!$B$5)^2)</f>
        <v/>
      </c>
      <c r="F117" s="6">
        <f>2*E117</f>
        <v/>
      </c>
      <c r="G117" s="6">
        <f>IF(ABS(A117-'Неопределенность'!$B$1)&lt;=$B$2/2,"← x_pred","")</f>
        <v/>
      </c>
    </row>
    <row r="118">
      <c r="A118" s="6">
        <f>MIN('Ввод'!$B$9:$B$108)+(ROW()-4)*$B$2</f>
        <v/>
      </c>
      <c r="B118" s="6">
        <f>IF('Ввод'!$B$6=1,A118-'Регрессия'!$B$3,A118-'Взвешенная регрессия'!$B$128+'Взвешенная регрессия'!$B$121/'Взвешенная регрессия'!$B$120)</f>
        <v/>
      </c>
      <c r="C118" s="6">
        <f>IF('Ввод'!$B$6=1,'Регрессия'!$B$6*(1/'Ввод'!$B$4+1/'Регрессия'!$B$2+B118^2/'Регрессия'!$B$5)+'Регрессия'!$B$10+B118^2*'Регрессия'!$B$9+2*B118*'Регрессия'!$B$11,'Взвешенная регрессия'!$B$124*(1/'Ввод'!$B$4+1/COUNTIFS('Взвешенная регрессия'!$A$11:$A$110,"&gt;=0"))+B118^2*'Взвешенная регрессия'!$B$125+'Взвешенная регрессия'!$B$126+2*B118*'Взвешенная регрессия'!$B$127)/IF('Ввод'!$B$6=1,'Регрессия'!$B$7,'Взвешенная регрессия'!$B$120)^2</f>
        <v/>
      </c>
      <c r="D118" s="6">
        <f>IF(C118&lt;0,NA(),SQRT(C118))</f>
        <v/>
      </c>
      <c r="E118" s="6">
        <f>SQRT(D118^2+(A118*'Ввод'!$B$5)^2)</f>
        <v/>
      </c>
      <c r="F118" s="6">
        <f>2*E118</f>
        <v/>
      </c>
      <c r="G118" s="6">
        <f>IF(ABS(A118-'Неопределенность'!$B$1)&lt;=$B$2/2,"← x_pred","")</f>
        <v/>
      </c>
    </row>
    <row r="119">
      <c r="A119" s="6">
        <f>MIN('Ввод'!$B$9:$B$108)+(ROW()-4)*$B$2</f>
        <v/>
      </c>
      <c r="B119" s="6">
        <f>IF('Ввод'!$B$6=1,A119-'Регрессия'!$B$3,A119-'Взвешенная регрессия'!$B$128+'Взвешенная регрессия'!$B$121/'Взвешенная регрессия'!$B$120)</f>
        <v/>
      </c>
      <c r="C119" s="6">
        <f>IF('Ввод'!$B$6=1,'Регрессия'!$B$6*(1/'Ввод'!$B$4+1/'Регрессия'!$B$2+B119^2/'Регрессия'!$B$5)+'Регрессия'!$B$10+B119^2*'Регрессия'!$B$9+2*B119*'Регрессия'!$B$11,'Взвешенная регрессия'!$B$124*(1/'Ввод'!$B$4+1/COUNTIFS('Взвешенная регрессия'!$A$11:$A$110,"&gt;=0"))+B119^2*'Взвешенная регрессия'!$B$125+'Взвешенная регрессия'!$B$126+2*B119*'Взвешенная регрессия'!$B$127)/IF('Ввод'!$B$6=1,'Регрессия'!$B$7,'Взвешенная регрессия'!$B$120)^2</f>
        <v/>
      </c>
      <c r="D119" s="6">
        <f>IF(C119&lt;0,NA(),SQRT(C119))</f>
        <v/>
      </c>
      <c r="E119" s="6">
        <f>SQRT(D119^2+(A119*'Ввод'!$B$5)^2)</f>
        <v/>
      </c>
      <c r="F119" s="6">
        <f>2*E119</f>
        <v/>
      </c>
      <c r="G119" s="6">
        <f>IF(ABS(A119-'Неопределенность'!$B$1)&lt;=$B$2/2,"← x_pred","")</f>
        <v/>
      </c>
    </row>
    <row r="120">
      <c r="A120" s="6">
        <f>MIN('Ввод'!$B$9:$B$108)+(ROW()-4)*$B$2</f>
        <v/>
      </c>
      <c r="B120" s="6">
        <f>IF('Ввод'!$B$6=1,A120-'Регрессия'!$B$3,A120-'Взвешенная регрессия'!$B$128+'Взвешенная регрессия'!$B$121/'Взвешенная регрессия'!$B$120)</f>
        <v/>
      </c>
      <c r="C120" s="6">
        <f>IF('Ввод'!$B$6=1,'Регрессия'!$B$6*(1/'Ввод'!$B$4+1/'Регрессия'!$B$2+B120^2/'Регрессия'!$B$5)+'Регрессия'!$B$10+B120^2*'Регрессия'!$B$9+2*B120*'Регрессия'!$B$11,'Взвешенная регрессия'!$B$124*(1/'Ввод'!$B$4+1/COUNTIFS('Взвешенная регрессия'!$A$11:$A$110,"&gt;=0"))+B120^2*'Взвешенная регрессия'!$B$125+'Взвешенная регрессия'!$B$126+2*B120*'Взвешенная регрессия'!$B$127)/IF('Ввод'!$B$6=1,'Регрессия'!$B$7,'Взвешенная регрессия'!$B$120)^2</f>
        <v/>
      </c>
      <c r="D120" s="6">
        <f>IF(C120&lt;0,NA(),SQRT(C120))</f>
        <v/>
      </c>
      <c r="E120" s="6">
        <f>SQRT(D120^2+(A120*'Ввод'!$B$5)^2)</f>
        <v/>
      </c>
      <c r="F120" s="6">
        <f>2*E120</f>
        <v/>
      </c>
      <c r="G120" s="6">
        <f>IF(ABS(A120-'Неопределенность'!$B$1)&lt;=$B$2/2,"← x_pred","")</f>
        <v/>
      </c>
    </row>
    <row r="121">
      <c r="A121" s="6">
        <f>MIN('Ввод'!$B$9:$B$108)+(ROW()-4)*$B$2</f>
        <v/>
      </c>
      <c r="B121" s="6">
        <f>IF('Ввод'!$B$6=1,A121-'Регрессия'!$B$3,A121-'Взвешенная регрессия'!$B$128+'Взвешенная регрессия'!$B$121/'Взвешенная регрессия'!$B$120)</f>
        <v/>
      </c>
      <c r="C121" s="6">
        <f>IF('Ввод'!$B$6=1,'Регрессия'!$B$6*(1/'Ввод'!$B$4+1/'Регрессия'!$B$2+B121^2/'Регрессия'!$B$5)+'Регрессия'!$B$10+B121^2*'Регрессия'!$B$9+2*B121*'Регрессия'!$B$11,'Взвешенная регрессия'!$B$124*(1/'Ввод'!$B$4+1/COUNTIFS('Взвешенная регрессия'!$A$11:$A$110,"&gt;=0"))+B121^2*'Взвешенная регрессия'!$B$125+'Взвешенная регрессия'!$B$126+2*B121*'Взвешенная регрессия'!$B$127)/IF('Ввод'!$B$6=1,'Регрессия'!$B$7,'Взвешенная регрессия'!$B$120)^2</f>
        <v/>
      </c>
      <c r="D121" s="6">
        <f>IF(C121&lt;0,NA(),SQRT(C121))</f>
        <v/>
      </c>
      <c r="E121" s="6">
        <f>SQRT(D121^2+(A121*'Ввод'!$B$5)^2)</f>
        <v/>
      </c>
      <c r="F121" s="6">
        <f>2*E121</f>
        <v/>
      </c>
      <c r="G121" s="6">
        <f>IF(ABS(A121-'Неопределенность'!$B$1)&lt;=$B$2/2,"← x_pred","")</f>
        <v/>
      </c>
    </row>
    <row r="122">
      <c r="A122" s="6">
        <f>MIN('Ввод'!$B$9:$B$108)+(ROW()-4)*$B$2</f>
        <v/>
      </c>
      <c r="B122" s="6">
        <f>IF('Ввод'!$B$6=1,A122-'Регрессия'!$B$3,A122-'Взвешенная регрессия'!$B$128+'Взвешенная регрессия'!$B$121/'Взвешенная регрессия'!$B$120)</f>
        <v/>
      </c>
      <c r="C122" s="6">
        <f>IF('Ввод'!$B$6=1,'Регрессия'!$B$6*(1/'Ввод'!$B$4+1/'Регрессия'!$B$2+B122^2/'Регрессия'!$B$5)+'Регрессия'!$B$10+B122^2*'Регрессия'!$B$9+2*B122*'Регрессия'!$B$11,'Взвешенная регрессия'!$B$124*(1/'Ввод'!$B$4+1/COUNTIFS('Взвешенная регрессия'!$A$11:$A$110,"&gt;=0"))+B122^2*'Взвешенная регрессия'!$B$125+'Взвешенная регрессия'!$B$126+2*B122*'Взвешенная регрессия'!$B$127)/IF('Ввод'!$B$6=1,'Регрессия'!$B$7,'Взвешенная регрессия'!$B$120)^2</f>
        <v/>
      </c>
      <c r="D122" s="6">
        <f>IF(C122&lt;0,NA(),SQRT(C122))</f>
        <v/>
      </c>
      <c r="E122" s="6">
        <f>SQRT(D122^2+(A122*'Ввод'!$B$5)^2)</f>
        <v/>
      </c>
      <c r="F122" s="6">
        <f>2*E122</f>
        <v/>
      </c>
      <c r="G122" s="6">
        <f>IF(ABS(A122-'Неопределенность'!$B$1)&lt;=$B$2/2,"← x_pred","")</f>
        <v/>
      </c>
    </row>
    <row r="123">
      <c r="A123" s="6">
        <f>MIN('Ввод'!$B$9:$B$108)+(ROW()-4)*$B$2</f>
        <v/>
      </c>
      <c r="B123" s="6">
        <f>IF('Ввод'!$B$6=1,A123-'Регрессия'!$B$3,A123-'Взвешенная регрессия'!$B$128+'Взвешенная регрессия'!$B$121/'Взвешенная регрессия'!$B$120)</f>
        <v/>
      </c>
      <c r="C123" s="6">
        <f>IF('Ввод'!$B$6=1,'Регрессия'!$B$6*(1/'Ввод'!$B$4+1/'Регрессия'!$B$2+B123^2/'Регрессия'!$B$5)+'Регрессия'!$B$10+B123^2*'Регрессия'!$B$9+2*B123*'Регрессия'!$B$11,'Взвешенная регрессия'!$B$124*(1/'Ввод'!$B$4+1/COUNTIFS('Взвешенная регрессия'!$A$11:$A$110,"&gt;=0"))+B123^2*'Взвешенная регрессия'!$B$125+'Взвешенная регрессия'!$B$126+2*B123*'Взвешенная регрессия'!$B$127)/IF('Ввод'!$B$6=1,'Регрессия'!$B$7,'Взвешенная регрессия'!$B$120)^2</f>
        <v/>
      </c>
      <c r="D123" s="6">
        <f>IF(C123&lt;0,NA(),SQRT(C123))</f>
        <v/>
      </c>
      <c r="E123" s="6">
        <f>SQRT(D123^2+(A123*'Ввод'!$B$5)^2)</f>
        <v/>
      </c>
      <c r="F123" s="6">
        <f>2*E123</f>
        <v/>
      </c>
      <c r="G123" s="6">
        <f>IF(ABS(A123-'Неопределенность'!$B$1)&lt;=$B$2/2,"← x_pred","")</f>
        <v/>
      </c>
    </row>
    <row r="124">
      <c r="A124" s="6">
        <f>MIN('Ввод'!$B$9:$B$108)+(ROW()-4)*$B$2</f>
        <v/>
      </c>
      <c r="B124" s="6">
        <f>IF('Ввод'!$B$6=1,A124-'Регрессия'!$B$3,A124-'Взвешенная регрессия'!$B$128+'Взвешенная регрессия'!$B$121/'Взвешенная регрессия'!$B$120)</f>
        <v/>
      </c>
      <c r="C124" s="6">
        <f>IF('Ввод'!$B$6=1,'Регрессия'!$B$6*(1/'Ввод'!$B$4+1/'Регрессия'!$B$2+B124^2/'Регрессия'!$B$5)+'Регрессия'!$B$10+B124^2*'Регрессия'!$B$9+2*B124*'Регрессия'!$B$11,'Взвешенная регрессия'!$B$124*(1/'Ввод'!$B$4+1/COUNTIFS('Взвешенная регрессия'!$A$11:$A$110,"&gt;=0"))+B124^2*'Взвешенная регрессия'!$B$125+'Взвешенная регрессия'!$B$126+2*B124*'Взвешенная регрессия'!$B$127)/IF('Ввод'!$B$6=1,'Регрессия'!$B$7,'Взвешенная регрессия'!$B$120)^2</f>
        <v/>
      </c>
      <c r="D124" s="6">
        <f>IF(C124&lt;0,NA(),SQRT(C124))</f>
        <v/>
      </c>
      <c r="E124" s="6">
        <f>SQRT(D124^2+(A124*'Ввод'!$B$5)^2)</f>
        <v/>
      </c>
      <c r="F124" s="6">
        <f>2*E124</f>
        <v/>
      </c>
      <c r="G124" s="6">
        <f>IF(ABS(A124-'Неопределенность'!$B$1)&lt;=$B$2/2,"← x_pred","")</f>
        <v/>
      </c>
    </row>
    <row r="125">
      <c r="A125" s="6">
        <f>MIN('Ввод'!$B$9:$B$108)+(ROW()-4)*$B$2</f>
        <v/>
      </c>
      <c r="B125" s="6">
        <f>IF('Ввод'!$B$6=1,A125-'Регрессия'!$B$3,A125-'Взвешенная регрессия'!$B$128+'Взвешенная регрессия'!$B$121/'Взвешенная регрессия'!$B$120)</f>
        <v/>
      </c>
      <c r="C125" s="6">
        <f>IF('Ввод'!$B$6=1,'Регрессия'!$B$6*(1/'Ввод'!$B$4+1/'Регрессия'!$B$2+B125^2/'Регрессия'!$B$5)+'Регрессия'!$B$10+B125^2*'Регрессия'!$B$9+2*B125*'Регрессия'!$B$11,'Взвешенная регрессия'!$B$124*(1/'Ввод'!$B$4+1/COUNTIFS('Взвешенная регрессия'!$A$11:$A$110,"&gt;=0"))+B125^2*'Взвешенная регрессия'!$B$125+'Взвешенная регрессия'!$B$126+2*B125*'Взвешенная регрессия'!$B$127)/IF('Ввод'!$B$6=1,'Регрессия'!$B$7,'Взвешенная регрессия'!$B$120)^2</f>
        <v/>
      </c>
      <c r="D125" s="6">
        <f>IF(C125&lt;0,NA(),SQRT(C125))</f>
        <v/>
      </c>
      <c r="E125" s="6">
        <f>SQRT(D125^2+(A125*'Ввод'!$B$5)^2)</f>
        <v/>
      </c>
      <c r="F125" s="6">
        <f>2*E125</f>
        <v/>
      </c>
      <c r="G125" s="6">
        <f>IF(ABS(A125-'Неопределенность'!$B$1)&lt;=$B$2/2,"← x_pred","")</f>
        <v/>
      </c>
    </row>
    <row r="126">
      <c r="A126" s="6">
        <f>MIN('Ввод'!$B$9:$B$108)+(ROW()-4)*$B$2</f>
        <v/>
      </c>
      <c r="B126" s="6">
        <f>IF('Ввод'!$B$6=1,A126-'Регрессия'!$B$3,A126-'Взвешенная регрессия'!$B$128+'Взвешенная регрессия'!$B$121/'Взвешенная регрессия'!$B$120)</f>
        <v/>
      </c>
      <c r="C126" s="6">
        <f>IF('Ввод'!$B$6=1,'Регрессия'!$B$6*(1/'Ввод'!$B$4+1/'Регрессия'!$B$2+B126^2/'Регрессия'!$B$5)+'Регрессия'!$B$10+B126^2*'Регрессия'!$B$9+2*B126*'Регрессия'!$B$11,'Взвешенная регрессия'!$B$124*(1/'Ввод'!$B$4+1/COUNTIFS('Взвешенная регрессия'!$A$11:$A$110,"&gt;=0"))+B126^2*'Взвешенная регрессия'!$B$125+'Взвешенная регрессия'!$B$126+2*B126*'Взвешенная регрессия'!$B$127)/IF('Ввод'!$B$6=1,'Регрессия'!$B$7,'Взвешенная регрессия'!$B$120)^2</f>
        <v/>
      </c>
      <c r="D126" s="6">
        <f>IF(C126&lt;0,NA(),SQRT(C126))</f>
        <v/>
      </c>
      <c r="E126" s="6">
        <f>SQRT(D126^2+(A126*'Ввод'!$B$5)^2)</f>
        <v/>
      </c>
      <c r="F126" s="6">
        <f>2*E126</f>
        <v/>
      </c>
      <c r="G126" s="6">
        <f>IF(ABS(A126-'Неопределенность'!$B$1)&lt;=$B$2/2,"← x_pred","")</f>
        <v/>
      </c>
    </row>
    <row r="127">
      <c r="A127" s="6">
        <f>MIN('Ввод'!$B$9:$B$108)+(ROW()-4)*$B$2</f>
        <v/>
      </c>
      <c r="B127" s="6">
        <f>IF('Ввод'!$B$6=1,A127-'Регрессия'!$B$3,A127-'Взвешенная регрессия'!$B$128+'Взвешенная регрессия'!$B$121/'Взвешенная регрессия'!$B$120)</f>
        <v/>
      </c>
      <c r="C127" s="6">
        <f>IF('Ввод'!$B$6=1,'Регрессия'!$B$6*(1/'Ввод'!$B$4+1/'Регрессия'!$B$2+B127^2/'Регрессия'!$B$5)+'Регрессия'!$B$10+B127^2*'Регрессия'!$B$9+2*B127*'Регрессия'!$B$11,'Взвешенная регрессия'!$B$124*(1/'Ввод'!$B$4+1/COUNTIFS('Взвешенная регрессия'!$A$11:$A$110,"&gt;=0"))+B127^2*'Взвешенная регрессия'!$B$125+'Взвешенная регрессия'!$B$126+2*B127*'Взвешенная регрессия'!$B$127)/IF('Ввод'!$B$6=1,'Регрессия'!$B$7,'Взвешенная регрессия'!$B$120)^2</f>
        <v/>
      </c>
      <c r="D127" s="6">
        <f>IF(C127&lt;0,NA(),SQRT(C127))</f>
        <v/>
      </c>
      <c r="E127" s="6">
        <f>SQRT(D127^2+(A127*'Ввод'!$B$5)^2)</f>
        <v/>
      </c>
      <c r="F127" s="6">
        <f>2*E127</f>
        <v/>
      </c>
      <c r="G127" s="6">
        <f>IF(ABS(A127-'Неопределенность'!$B$1)&lt;=$B$2/2,"← x_pred","")</f>
        <v/>
      </c>
    </row>
    <row r="128">
      <c r="A128" s="6">
        <f>MIN('Ввод'!$B$9:$B$108)+(ROW()-4)*$B$2</f>
        <v/>
      </c>
      <c r="B128" s="6">
        <f>IF('Ввод'!$B$6=1,A128-'Регрессия'!$B$3,A128-'Взвешенная регрессия'!$B$128+'Взвешенная регрессия'!$B$121/'Взвешенная регрессия'!$B$120)</f>
        <v/>
      </c>
      <c r="C128" s="6">
        <f>IF('Ввод'!$B$6=1,'Регрессия'!$B$6*(1/'Ввод'!$B$4+1/'Регрессия'!$B$2+B128^2/'Регрессия'!$B$5)+'Регрессия'!$B$10+B128^2*'Регрессия'!$B$9+2*B128*'Регрессия'!$B$11,'Взвешенная регрессия'!$B$124*(1/'Ввод'!$B$4+1/COUNTIFS('Взвешенная регрессия'!$A$11:$A$110,"&gt;=0"))+B128^2*'Взвешенная регрессия'!$B$125+'Взвешенная регрессия'!$B$126+2*B128*'Взвешенная регрессия'!$B$127)/IF('Ввод'!$B$6=1,'Регрессия'!$B$7,'Взвешенная регрессия'!$B$120)^2</f>
        <v/>
      </c>
      <c r="D128" s="6">
        <f>IF(C128&lt;0,NA(),SQRT(C128))</f>
        <v/>
      </c>
      <c r="E128" s="6">
        <f>SQRT(D128^2+(A128*'Ввод'!$B$5)^2)</f>
        <v/>
      </c>
      <c r="F128" s="6">
        <f>2*E128</f>
        <v/>
      </c>
      <c r="G128" s="6">
        <f>IF(ABS(A128-'Неопределенность'!$B$1)&lt;=$B$2/2,"← x_pred","")</f>
        <v/>
      </c>
    </row>
    <row r="129">
      <c r="A129" s="6">
        <f>MIN('Ввод'!$B$9:$B$108)+(ROW()-4)*$B$2</f>
        <v/>
      </c>
      <c r="B129" s="6">
        <f>IF('Ввод'!$B$6=1,A129-'Регрессия'!$B$3,A129-'Взвешенная регрессия'!$B$128+'Взвешенная регрессия'!$B$121/'Взвешенная регрессия'!$B$120)</f>
        <v/>
      </c>
      <c r="C129" s="6">
        <f>IF('Ввод'!$B$6=1,'Регрессия'!$B$6*(1/'Ввод'!$B$4+1/'Регрессия'!$B$2+B129^2/'Регрессия'!$B$5)+'Регрессия'!$B$10+B129^2*'Регрессия'!$B$9+2*B129*'Регрессия'!$B$11,'Взвешенная регрессия'!$B$124*(1/'Ввод'!$B$4+1/COUNTIFS('Взвешенная регрессия'!$A$11:$A$110,"&gt;=0"))+B129^2*'Взвешенная регрессия'!$B$125+'Взвешенная регрессия'!$B$126+2*B129*'Взвешенная регрессия'!$B$127)/IF('Ввод'!$B$6=1,'Регрессия'!$B$7,'Взвешенная регрессия'!$B$120)^2</f>
        <v/>
      </c>
      <c r="D129" s="6">
        <f>IF(C129&lt;0,NA(),SQRT(C129))</f>
        <v/>
      </c>
      <c r="E129" s="6">
        <f>SQRT(D129^2+(A129*'Ввод'!$B$5)^2)</f>
        <v/>
      </c>
      <c r="F129" s="6">
        <f>2*E129</f>
        <v/>
      </c>
      <c r="G129" s="6">
        <f>IF(ABS(A129-'Неопределенность'!$B$1)&lt;=$B$2/2,"← x_pred","")</f>
        <v/>
      </c>
    </row>
    <row r="130">
      <c r="A130" s="6">
        <f>MIN('Ввод'!$B$9:$B$108)+(ROW()-4)*$B$2</f>
        <v/>
      </c>
      <c r="B130" s="6">
        <f>IF('Ввод'!$B$6=1,A130-'Регрессия'!$B$3,A130-'Взвешенная регрессия'!$B$128+'Взвешенная регрессия'!$B$121/'Взвешенная регрессия'!$B$120)</f>
        <v/>
      </c>
      <c r="C130" s="6">
        <f>IF('Ввод'!$B$6=1,'Регрессия'!$B$6*(1/'Ввод'!$B$4+1/'Регрессия'!$B$2+B130^2/'Регрессия'!$B$5)+'Регрессия'!$B$10+B130^2*'Регрессия'!$B$9+2*B130*'Регрессия'!$B$11,'Взвешенная регрессия'!$B$124*(1/'Ввод'!$B$4+1/COUNTIFS('Взвешенная регрессия'!$A$11:$A$110,"&gt;=0"))+B130^2*'Взвешенная регрессия'!$B$125+'Взвешенная регрессия'!$B$126+2*B130*'Взвешенная регрессия'!$B$127)/IF('Ввод'!$B$6=1,'Регрессия'!$B$7,'Взвешенная регрессия'!$B$120)^2</f>
        <v/>
      </c>
      <c r="D130" s="6">
        <f>IF(C130&lt;0,NA(),SQRT(C130))</f>
        <v/>
      </c>
      <c r="E130" s="6">
        <f>SQRT(D130^2+(A130*'Ввод'!$B$5)^2)</f>
        <v/>
      </c>
      <c r="F130" s="6">
        <f>2*E130</f>
        <v/>
      </c>
      <c r="G130" s="6">
        <f>IF(ABS(A130-'Неопределенность'!$B$1)&lt;=$B$2/2,"← x_pred","")</f>
        <v/>
      </c>
    </row>
    <row r="131">
      <c r="A131" s="6">
        <f>MIN('Ввод'!$B$9:$B$108)+(ROW()-4)*$B$2</f>
        <v/>
      </c>
      <c r="B131" s="6">
        <f>IF('Ввод'!$B$6=1,A131-'Регрессия'!$B$3,A131-'Взвешенная регрессия'!$B$128+'Взвешенная регрессия'!$B$121/'Взвешенная регрессия'!$B$120)</f>
        <v/>
      </c>
      <c r="C131" s="6">
        <f>IF('Ввод'!$B$6=1,'Регрессия'!$B$6*(1/'Ввод'!$B$4+1/'Регрессия'!$B$2+B131^2/'Регрессия'!$B$5)+'Регрессия'!$B$10+B131^2*'Регрессия'!$B$9+2*B131*'Регрессия'!$B$11,'Взвешенная регрессия'!$B$124*(1/'Ввод'!$B$4+1/COUNTIFS('Взвешенная регрессия'!$A$11:$A$110,"&gt;=0"))+B131^2*'Взвешенная регрессия'!$B$125+'Взвешенная регрессия'!$B$126+2*B131*'Взвешенная регрессия'!$B$127)/IF('Ввод'!$B$6=1,'Регрессия'!$B$7,'Взвешенная регрессия'!$B$120)^2</f>
        <v/>
      </c>
      <c r="D131" s="6">
        <f>IF(C131&lt;0,NA(),SQRT(C131))</f>
        <v/>
      </c>
      <c r="E131" s="6">
        <f>SQRT(D131^2+(A131*'Ввод'!$B$5)^2)</f>
        <v/>
      </c>
      <c r="F131" s="6">
        <f>2*E131</f>
        <v/>
      </c>
      <c r="G131" s="6">
        <f>IF(ABS(A131-'Неопределенность'!$B$1)&lt;=$B$2/2,"← x_pred","")</f>
        <v/>
      </c>
    </row>
    <row r="132">
      <c r="A132" s="6">
        <f>MIN('Ввод'!$B$9:$B$108)+(ROW()-4)*$B$2</f>
        <v/>
      </c>
      <c r="B132" s="6">
        <f>IF('Ввод'!$B$6=1,A132-'Регрессия'!$B$3,A132-'Взвешенная регрессия'!$B$128+'Взвешенная регрессия'!$B$121/'Взвешенная регрессия'!$B$120)</f>
        <v/>
      </c>
      <c r="C132" s="6">
        <f>IF('Ввод'!$B$6=1,'Регрессия'!$B$6*(1/'Ввод'!$B$4+1/'Регрессия'!$B$2+B132^2/'Регрессия'!$B$5)+'Регрессия'!$B$10+B132^2*'Регрессия'!$B$9+2*B132*'Регрессия'!$B$11,'Взвешенная регрессия'!$B$124*(1/'Ввод'!$B$4+1/COUNTIFS('Взвешенная регрессия'!$A$11:$A$110,"&gt;=0"))+B132^2*'Взвешенная регрессия'!$B$125+'Взвешенная регрессия'!$B$126+2*B132*'Взвешенная регрессия'!$B$127)/IF('Ввод'!$B$6=1,'Регрессия'!$B$7,'Взвешенная регрессия'!$B$120)^2</f>
        <v/>
      </c>
      <c r="D132" s="6">
        <f>IF(C132&lt;0,NA(),SQRT(C132))</f>
        <v/>
      </c>
      <c r="E132" s="6">
        <f>SQRT(D132^2+(A132*'Ввод'!$B$5)^2)</f>
        <v/>
      </c>
      <c r="F132" s="6">
        <f>2*E132</f>
        <v/>
      </c>
      <c r="G132" s="6">
        <f>IF(ABS(A132-'Неопределенность'!$B$1)&lt;=$B$2/2,"← x_pred","")</f>
        <v/>
      </c>
    </row>
    <row r="133">
      <c r="A133" s="6">
        <f>MIN('Ввод'!$B$9:$B$108)+(ROW()-4)*$B$2</f>
        <v/>
      </c>
      <c r="B133" s="6">
        <f>IF('Ввод'!$B$6=1,A133-'Регрессия'!$B$3,A133-'Взвешенная регрессия'!$B$128+'Взвешенная регрессия'!$B$121/'Взвешенная регрессия'!$B$120)</f>
        <v/>
      </c>
      <c r="C133" s="6">
        <f>IF('Ввод'!$B$6=1,'Регрессия'!$B$6*(1/'Ввод'!$B$4+1/'Регрессия'!$B$2+B133^2/'Регрессия'!$B$5)+'Регрессия'!$B$10+B133^2*'Регрессия'!$B$9+2*B133*'Регрессия'!$B$11,'Взвешенная регрессия'!$B$124*(1/'Ввод'!$B$4+1/COUNTIFS('Взвешенная регрессия'!$A$11:$A$110,"&gt;=0"))+B133^2*'Взвешенная регрессия'!$B$125+'Взвешенная регрессия'!$B$126+2*B133*'Взвешенная регрессия'!$B$127)/IF('Ввод'!$B$6=1,'Регрессия'!$B$7,'Взвешенная регрессия'!$B$120)^2</f>
        <v/>
      </c>
      <c r="D133" s="6">
        <f>IF(C133&lt;0,NA(),SQRT(C133))</f>
        <v/>
      </c>
      <c r="E133" s="6">
        <f>SQRT(D133^2+(A133*'Ввод'!$B$5)^2)</f>
        <v/>
      </c>
      <c r="F133" s="6">
        <f>2*E133</f>
        <v/>
      </c>
      <c r="G133" s="6">
        <f>IF(ABS(A133-'Неопределенность'!$B$1)&lt;=$B$2/2,"← x_pred","")</f>
        <v/>
      </c>
    </row>
    <row r="134">
      <c r="A134" s="6">
        <f>MIN('Ввод'!$B$9:$B$108)+(ROW()-4)*$B$2</f>
        <v/>
      </c>
      <c r="B134" s="6">
        <f>IF('Ввод'!$B$6=1,A134-'Регрессия'!$B$3,A134-'Взвешенная регрессия'!$B$128+'Взвешенная регрессия'!$B$121/'Взвешенная регрессия'!$B$120)</f>
        <v/>
      </c>
      <c r="C134" s="6">
        <f>IF('Ввод'!$B$6=1,'Регрессия'!$B$6*(1/'Ввод'!$B$4+1/'Регрессия'!$B$2+B134^2/'Регрессия'!$B$5)+'Регрессия'!$B$10+B134^2*'Регрессия'!$B$9+2*B134*'Регрессия'!$B$11,'Взвешенная регрессия'!$B$124*(1/'Ввод'!$B$4+1/COUNTIFS('Взвешенная регрессия'!$A$11:$A$110,"&gt;=0"))+B134^2*'Взвешенная регрессия'!$B$125+'Взвешенная регрессия'!$B$126+2*B134*'Взвешенная регрессия'!$B$127)/IF('Ввод'!$B$6=1,'Регрессия'!$B$7,'Взвешенная регрессия'!$B$120)^2</f>
        <v/>
      </c>
      <c r="D134" s="6">
        <f>IF(C134&lt;0,NA(),SQRT(C134))</f>
        <v/>
      </c>
      <c r="E134" s="6">
        <f>SQRT(D134^2+(A134*'Ввод'!$B$5)^2)</f>
        <v/>
      </c>
      <c r="F134" s="6">
        <f>2*E134</f>
        <v/>
      </c>
      <c r="G134" s="6">
        <f>IF(ABS(A134-'Неопределенность'!$B$1)&lt;=$B$2/2,"← x_pred","")</f>
        <v/>
      </c>
    </row>
    <row r="135">
      <c r="A135" s="6">
        <f>MIN('Ввод'!$B$9:$B$108)+(ROW()-4)*$B$2</f>
        <v/>
      </c>
      <c r="B135" s="6">
        <f>IF('Ввод'!$B$6=1,A135-'Регрессия'!$B$3,A135-'Взвешенная регрессия'!$B$128+'Взвешенная регрессия'!$B$121/'Взвешенная регрессия'!$B$120)</f>
        <v/>
      </c>
      <c r="C135" s="6">
        <f>IF('Ввод'!$B$6=1,'Регрессия'!$B$6*(1/'Ввод'!$B$4+1/'Регрессия'!$B$2+B135^2/'Регрессия'!$B$5)+'Регрессия'!$B$10+B135^2*'Регрессия'!$B$9+2*B135*'Регрессия'!$B$11,'Взвешенная регрессия'!$B$124*(1/'Ввод'!$B$4+1/COUNTIFS('Взвешенная регрессия'!$A$11:$A$110,"&gt;=0"))+B135^2*'Взвешенная регрессия'!$B$125+'Взвешенная регрессия'!$B$126+2*B135*'Взвешенная регрессия'!$B$127)/IF('Ввод'!$B$6=1,'Регрессия'!$B$7,'Взвешенная регрессия'!$B$120)^2</f>
        <v/>
      </c>
      <c r="D135" s="6">
        <f>IF(C135&lt;0,NA(),SQRT(C135))</f>
        <v/>
      </c>
      <c r="E135" s="6">
        <f>SQRT(D135^2+(A135*'Ввод'!$B$5)^2)</f>
        <v/>
      </c>
      <c r="F135" s="6">
        <f>2*E135</f>
        <v/>
      </c>
      <c r="G135" s="6">
        <f>IF(ABS(A135-'Неопределенность'!$B$1)&lt;=$B$2/2,"← x_pred","")</f>
        <v/>
      </c>
    </row>
    <row r="136">
      <c r="A136" s="6">
        <f>MIN('Ввод'!$B$9:$B$108)+(ROW()-4)*$B$2</f>
        <v/>
      </c>
      <c r="B136" s="6">
        <f>IF('Ввод'!$B$6=1,A136-'Регрессия'!$B$3,A136-'Взвешенная регрессия'!$B$128+'Взвешенная регрессия'!$B$121/'Взвешенная регрессия'!$B$120)</f>
        <v/>
      </c>
      <c r="C136" s="6">
        <f>IF('Ввод'!$B$6=1,'Регрессия'!$B$6*(1/'Ввод'!$B$4+1/'Регрессия'!$B$2+B136^2/'Регрессия'!$B$5)+'Регрессия'!$B$10+B136^2*'Регрессия'!$B$9+2*B136*'Регрессия'!$B$11,'Взвешенная регрессия'!$B$124*(1/'Ввод'!$B$4+1/COUNTIFS('Взвешенная регрессия'!$A$11:$A$110,"&gt;=0"))+B136^2*'Взвешенная регрессия'!$B$125+'Взвешенная регрессия'!$B$126+2*B136*'Взвешенная регрессия'!$B$127)/IF('Ввод'!$B$6=1,'Регрессия'!$B$7,'Взвешенная регрессия'!$B$120)^2</f>
        <v/>
      </c>
      <c r="D136" s="6">
        <f>IF(C136&lt;0,NA(),SQRT(C136))</f>
        <v/>
      </c>
      <c r="E136" s="6">
        <f>SQRT(D136^2+(A136*'Ввод'!$B$5)^2)</f>
        <v/>
      </c>
      <c r="F136" s="6">
        <f>2*E136</f>
        <v/>
      </c>
      <c r="G136" s="6">
        <f>IF(ABS(A136-'Неопределенность'!$B$1)&lt;=$B$2/2,"← x_pred","")</f>
        <v/>
      </c>
    </row>
    <row r="137">
      <c r="A137" s="6">
        <f>MIN('Ввод'!$B$9:$B$108)+(ROW()-4)*$B$2</f>
        <v/>
      </c>
      <c r="B137" s="6">
        <f>IF('Ввод'!$B$6=1,A137-'Регрессия'!$B$3,A137-'Взвешенная регрессия'!$B$128+'Взвешенная регрессия'!$B$121/'Взвешенная регрессия'!$B$120)</f>
        <v/>
      </c>
      <c r="C137" s="6">
        <f>IF('Ввод'!$B$6=1,'Регрессия'!$B$6*(1/'Ввод'!$B$4+1/'Регрессия'!$B$2+B137^2/'Регрессия'!$B$5)+'Регрессия'!$B$10+B137^2*'Регрессия'!$B$9+2*B137*'Регрессия'!$B$11,'Взвешенная регрессия'!$B$124*(1/'Ввод'!$B$4+1/COUNTIFS('Взвешенная регрессия'!$A$11:$A$110,"&gt;=0"))+B137^2*'Взвешенная регрессия'!$B$125+'Взвешенная регрессия'!$B$126+2*B137*'Взвешенная регрессия'!$B$127)/IF('Ввод'!$B$6=1,'Регрессия'!$B$7,'Взвешенная регрессия'!$B$120)^2</f>
        <v/>
      </c>
      <c r="D137" s="6">
        <f>IF(C137&lt;0,NA(),SQRT(C137))</f>
        <v/>
      </c>
      <c r="E137" s="6">
        <f>SQRT(D137^2+(A137*'Ввод'!$B$5)^2)</f>
        <v/>
      </c>
      <c r="F137" s="6">
        <f>2*E137</f>
        <v/>
      </c>
      <c r="G137" s="6">
        <f>IF(ABS(A137-'Неопределенность'!$B$1)&lt;=$B$2/2,"← x_pred","")</f>
        <v/>
      </c>
    </row>
    <row r="138">
      <c r="A138" s="6">
        <f>MIN('Ввод'!$B$9:$B$108)+(ROW()-4)*$B$2</f>
        <v/>
      </c>
      <c r="B138" s="6">
        <f>IF('Ввод'!$B$6=1,A138-'Регрессия'!$B$3,A138-'Взвешенная регрессия'!$B$128+'Взвешенная регрессия'!$B$121/'Взвешенная регрессия'!$B$120)</f>
        <v/>
      </c>
      <c r="C138" s="6">
        <f>IF('Ввод'!$B$6=1,'Регрессия'!$B$6*(1/'Ввод'!$B$4+1/'Регрессия'!$B$2+B138^2/'Регрессия'!$B$5)+'Регрессия'!$B$10+B138^2*'Регрессия'!$B$9+2*B138*'Регрессия'!$B$11,'Взвешенная регрессия'!$B$124*(1/'Ввод'!$B$4+1/COUNTIFS('Взвешенная регрессия'!$A$11:$A$110,"&gt;=0"))+B138^2*'Взвешенная регрессия'!$B$125+'Взвешенная регрессия'!$B$126+2*B138*'Взвешенная регрессия'!$B$127)/IF('Ввод'!$B$6=1,'Регрессия'!$B$7,'Взвешенная регрессия'!$B$120)^2</f>
        <v/>
      </c>
      <c r="D138" s="6">
        <f>IF(C138&lt;0,NA(),SQRT(C138))</f>
        <v/>
      </c>
      <c r="E138" s="6">
        <f>SQRT(D138^2+(A138*'Ввод'!$B$5)^2)</f>
        <v/>
      </c>
      <c r="F138" s="6">
        <f>2*E138</f>
        <v/>
      </c>
      <c r="G138" s="6">
        <f>IF(ABS(A138-'Неопределенность'!$B$1)&lt;=$B$2/2,"← x_pred","")</f>
        <v/>
      </c>
    </row>
    <row r="139">
      <c r="A139" s="6">
        <f>MIN('Ввод'!$B$9:$B$108)+(ROW()-4)*$B$2</f>
        <v/>
      </c>
      <c r="B139" s="6">
        <f>IF('Ввод'!$B$6=1,A139-'Регрессия'!$B$3,A139-'Взвешенная регрессия'!$B$128+'Взвешенная регрессия'!$B$121/'Взвешенная регрессия'!$B$120)</f>
        <v/>
      </c>
      <c r="C139" s="6">
        <f>IF('Ввод'!$B$6=1,'Регрессия'!$B$6*(1/'Ввод'!$B$4+1/'Регрессия'!$B$2+B139^2/'Регрессия'!$B$5)+'Регрессия'!$B$10+B139^2*'Регрессия'!$B$9+2*B139*'Регрессия'!$B$11,'Взвешенная регрессия'!$B$124*(1/'Ввод'!$B$4+1/COUNTIFS('Взвешенная регрессия'!$A$11:$A$110,"&gt;=0"))+B139^2*'Взвешенная регрессия'!$B$125+'Взвешенная регрессия'!$B$126+2*B139*'Взвешенная регрессия'!$B$127)/IF('Ввод'!$B$6=1,'Регрессия'!$B$7,'Взвешенная регрессия'!$B$120)^2</f>
        <v/>
      </c>
      <c r="D139" s="6">
        <f>IF(C139&lt;0,NA(),SQRT(C139))</f>
        <v/>
      </c>
      <c r="E139" s="6">
        <f>SQRT(D139^2+(A139*'Ввод'!$B$5)^2)</f>
        <v/>
      </c>
      <c r="F139" s="6">
        <f>2*E139</f>
        <v/>
      </c>
      <c r="G139" s="6">
        <f>IF(ABS(A139-'Неопределенность'!$B$1)&lt;=$B$2/2,"← x_pred","")</f>
        <v/>
      </c>
    </row>
    <row r="140">
      <c r="A140" s="6">
        <f>MIN('Ввод'!$B$9:$B$108)+(ROW()-4)*$B$2</f>
        <v/>
      </c>
      <c r="B140" s="6">
        <f>IF('Ввод'!$B$6=1,A140-'Регрессия'!$B$3,A140-'Взвешенная регрессия'!$B$128+'Взвешенная регрессия'!$B$121/'Взвешенная регрессия'!$B$120)</f>
        <v/>
      </c>
      <c r="C140" s="6">
        <f>IF('Ввод'!$B$6=1,'Регрессия'!$B$6*(1/'Ввод'!$B$4+1/'Регрессия'!$B$2+B140^2/'Регрессия'!$B$5)+'Регрессия'!$B$10+B140^2*'Регрессия'!$B$9+2*B140*'Регрессия'!$B$11,'Взвешенная регрессия'!$B$124*(1/'Ввод'!$B$4+1/COUNTIFS('Взвешенная регрессия'!$A$11:$A$110,"&gt;=0"))+B140^2*'Взвешенная регрессия'!$B$125+'Взвешенная регрессия'!$B$126+2*B140*'Взвешенная регрессия'!$B$127)/IF('Ввод'!$B$6=1,'Регрессия'!$B$7,'Взвешенная регрессия'!$B$120)^2</f>
        <v/>
      </c>
      <c r="D140" s="6">
        <f>IF(C140&lt;0,NA(),SQRT(C140))</f>
        <v/>
      </c>
      <c r="E140" s="6">
        <f>SQRT(D140^2+(A140*'Ввод'!$B$5)^2)</f>
        <v/>
      </c>
      <c r="F140" s="6">
        <f>2*E140</f>
        <v/>
      </c>
      <c r="G140" s="6">
        <f>IF(ABS(A140-'Неопределенность'!$B$1)&lt;=$B$2/2,"← x_pred","")</f>
        <v/>
      </c>
    </row>
    <row r="141">
      <c r="A141" s="6">
        <f>MIN('Ввод'!$B$9:$B$108)+(ROW()-4)*$B$2</f>
        <v/>
      </c>
      <c r="B141" s="6">
        <f>IF('Ввод'!$B$6=1,A141-'Регрессия'!$B$3,A141-'Взвешенная регрессия'!$B$128+'Взвешенная регрессия'!$B$121/'Взвешенная регрессия'!$B$120)</f>
        <v/>
      </c>
      <c r="C141" s="6">
        <f>IF('Ввод'!$B$6=1,'Регрессия'!$B$6*(1/'Ввод'!$B$4+1/'Регрессия'!$B$2+B141^2/'Регрессия'!$B$5)+'Регрессия'!$B$10+B141^2*'Регрессия'!$B$9+2*B141*'Регрессия'!$B$11,'Взвешенная регрессия'!$B$124*(1/'Ввод'!$B$4+1/COUNTIFS('Взвешенная регрессия'!$A$11:$A$110,"&gt;=0"))+B141^2*'Взвешенная регрессия'!$B$125+'Взвешенная регрессия'!$B$126+2*B141*'Взвешенная регрессия'!$B$127)/IF('Ввод'!$B$6=1,'Регрессия'!$B$7,'Взвешенная регрессия'!$B$120)^2</f>
        <v/>
      </c>
      <c r="D141" s="6">
        <f>IF(C141&lt;0,NA(),SQRT(C141))</f>
        <v/>
      </c>
      <c r="E141" s="6">
        <f>SQRT(D141^2+(A141*'Ввод'!$B$5)^2)</f>
        <v/>
      </c>
      <c r="F141" s="6">
        <f>2*E141</f>
        <v/>
      </c>
      <c r="G141" s="6">
        <f>IF(ABS(A141-'Неопределенность'!$B$1)&lt;=$B$2/2,"← x_pred","")</f>
        <v/>
      </c>
    </row>
    <row r="142">
      <c r="A142" s="6">
        <f>MIN('Ввод'!$B$9:$B$108)+(ROW()-4)*$B$2</f>
        <v/>
      </c>
      <c r="B142" s="6">
        <f>IF('Ввод'!$B$6=1,A142-'Регрессия'!$B$3,A142-'Взвешенная регрессия'!$B$128+'Взвешенная регрессия'!$B$121/'Взвешенная регрессия'!$B$120)</f>
        <v/>
      </c>
      <c r="C142" s="6">
        <f>IF('Ввод'!$B$6=1,'Регрессия'!$B$6*(1/'Ввод'!$B$4+1/'Регрессия'!$B$2+B142^2/'Регрессия'!$B$5)+'Регрессия'!$B$10+B142^2*'Регрессия'!$B$9+2*B142*'Регрессия'!$B$11,'Взвешенная регрессия'!$B$124*(1/'Ввод'!$B$4+1/COUNTIFS('Взвешенная регрессия'!$A$11:$A$110,"&gt;=0"))+B142^2*'Взвешенная регрессия'!$B$125+'Взвешенная регрессия'!$B$126+2*B142*'Взвешенная регрессия'!$B$127)/IF('Ввод'!$B$6=1,'Регрессия'!$B$7,'Взвешенная регрессия'!$B$120)^2</f>
        <v/>
      </c>
      <c r="D142" s="6">
        <f>IF(C142&lt;0,NA(),SQRT(C142))</f>
        <v/>
      </c>
      <c r="E142" s="6">
        <f>SQRT(D142^2+(A142*'Ввод'!$B$5)^2)</f>
        <v/>
      </c>
      <c r="F142" s="6">
        <f>2*E142</f>
        <v/>
      </c>
      <c r="G142" s="6">
        <f>IF(ABS(A142-'Неопределенность'!$B$1)&lt;=$B$2/2,"← x_pred","")</f>
        <v/>
      </c>
    </row>
    <row r="143">
      <c r="A143" s="6">
        <f>MIN('Ввод'!$B$9:$B$108)+(ROW()-4)*$B$2</f>
        <v/>
      </c>
      <c r="B143" s="6">
        <f>IF('Ввод'!$B$6=1,A143-'Регрессия'!$B$3,A143-'Взвешенная регрессия'!$B$128+'Взвешенная регрессия'!$B$121/'Взвешенная регрессия'!$B$120)</f>
        <v/>
      </c>
      <c r="C143" s="6">
        <f>IF('Ввод'!$B$6=1,'Регрессия'!$B$6*(1/'Ввод'!$B$4+1/'Регрессия'!$B$2+B143^2/'Регрессия'!$B$5)+'Регрессия'!$B$10+B143^2*'Регрессия'!$B$9+2*B143*'Регрессия'!$B$11,'Взвешенная регрессия'!$B$124*(1/'Ввод'!$B$4+1/COUNTIFS('Взвешенная регрессия'!$A$11:$A$110,"&gt;=0"))+B143^2*'Взвешенная регрессия'!$B$125+'Взвешенная регрессия'!$B$126+2*B143*'Взвешенная регрессия'!$B$127)/IF('Ввод'!$B$6=1,'Регрессия'!$B$7,'Взвешенная регрессия'!$B$120)^2</f>
        <v/>
      </c>
      <c r="D143" s="6">
        <f>IF(C143&lt;0,NA(),SQRT(C143))</f>
        <v/>
      </c>
      <c r="E143" s="6">
        <f>SQRT(D143^2+(A143*'Ввод'!$B$5)^2)</f>
        <v/>
      </c>
      <c r="F143" s="6">
        <f>2*E143</f>
        <v/>
      </c>
      <c r="G143" s="6">
        <f>IF(ABS(A143-'Неопределенность'!$B$1)&lt;=$B$2/2,"← x_pred","")</f>
        <v/>
      </c>
    </row>
    <row r="144">
      <c r="A144" s="6">
        <f>MIN('Ввод'!$B$9:$B$108)+(ROW()-4)*$B$2</f>
        <v/>
      </c>
      <c r="B144" s="6">
        <f>IF('Ввод'!$B$6=1,A144-'Регрессия'!$B$3,A144-'Взвешенная регрессия'!$B$128+'Взвешенная регрессия'!$B$121/'Взвешенная регрессия'!$B$120)</f>
        <v/>
      </c>
      <c r="C144" s="6">
        <f>IF('Ввод'!$B$6=1,'Регрессия'!$B$6*(1/'Ввод'!$B$4+1/'Регрессия'!$B$2+B144^2/'Регрессия'!$B$5)+'Регрессия'!$B$10+B144^2*'Регрессия'!$B$9+2*B144*'Регрессия'!$B$11,'Взвешенная регрессия'!$B$124*(1/'Ввод'!$B$4+1/COUNTIFS('Взвешенная регрессия'!$A$11:$A$110,"&gt;=0"))+B144^2*'Взвешенная регрессия'!$B$125+'Взвешенная регрессия'!$B$126+2*B144*'Взвешенная регрессия'!$B$127)/IF('Ввод'!$B$6=1,'Регрессия'!$B$7,'Взвешенная регрессия'!$B$120)^2</f>
        <v/>
      </c>
      <c r="D144" s="6">
        <f>IF(C144&lt;0,NA(),SQRT(C144))</f>
        <v/>
      </c>
      <c r="E144" s="6">
        <f>SQRT(D144^2+(A144*'Ввод'!$B$5)^2)</f>
        <v/>
      </c>
      <c r="F144" s="6">
        <f>2*E144</f>
        <v/>
      </c>
      <c r="G144" s="6">
        <f>IF(ABS(A144-'Неопределенность'!$B$1)&lt;=$B$2/2,"← x_pred","")</f>
        <v/>
      </c>
    </row>
    <row r="145">
      <c r="A145" s="6">
        <f>MIN('Ввод'!$B$9:$B$108)+(ROW()-4)*$B$2</f>
        <v/>
      </c>
      <c r="B145" s="6">
        <f>IF('Ввод'!$B$6=1,A145-'Регрессия'!$B$3,A145-'Взвешенная регрессия'!$B$128+'Взвешенная регрессия'!$B$121/'Взвешенная регрессия'!$B$120)</f>
        <v/>
      </c>
      <c r="C145" s="6">
        <f>IF('Ввод'!$B$6=1,'Регрессия'!$B$6*(1/'Ввод'!$B$4+1/'Регрессия'!$B$2+B145^2/'Регрессия'!$B$5)+'Регрессия'!$B$10+B145^2*'Регрессия'!$B$9+2*B145*'Регрессия'!$B$11,'Взвешенная регрессия'!$B$124*(1/'Ввод'!$B$4+1/COUNTIFS('Взвешенная регрессия'!$A$11:$A$110,"&gt;=0"))+B145^2*'Взвешенная регрессия'!$B$125+'Взвешенная регрессия'!$B$126+2*B145*'Взвешенная регрессия'!$B$127)/IF('Ввод'!$B$6=1,'Регрессия'!$B$7,'Взвешенная регрессия'!$B$120)^2</f>
        <v/>
      </c>
      <c r="D145" s="6">
        <f>IF(C145&lt;0,NA(),SQRT(C145))</f>
        <v/>
      </c>
      <c r="E145" s="6">
        <f>SQRT(D145^2+(A145*'Ввод'!$B$5)^2)</f>
        <v/>
      </c>
      <c r="F145" s="6">
        <f>2*E145</f>
        <v/>
      </c>
      <c r="G145" s="6">
        <f>IF(ABS(A145-'Неопределенность'!$B$1)&lt;=$B$2/2,"← x_pred","")</f>
        <v/>
      </c>
    </row>
    <row r="146">
      <c r="A146" s="6">
        <f>MIN('Ввод'!$B$9:$B$108)+(ROW()-4)*$B$2</f>
        <v/>
      </c>
      <c r="B146" s="6">
        <f>IF('Ввод'!$B$6=1,A146-'Регрессия'!$B$3,A146-'Взвешенная регрессия'!$B$128+'Взвешенная регрессия'!$B$121/'Взвешенная регрессия'!$B$120)</f>
        <v/>
      </c>
      <c r="C146" s="6">
        <f>IF('Ввод'!$B$6=1,'Регрессия'!$B$6*(1/'Ввод'!$B$4+1/'Регрессия'!$B$2+B146^2/'Регрессия'!$B$5)+'Регрессия'!$B$10+B146^2*'Регрессия'!$B$9+2*B146*'Регрессия'!$B$11,'Взвешенная регрессия'!$B$124*(1/'Ввод'!$B$4+1/COUNTIFS('Взвешенная регрессия'!$A$11:$A$110,"&gt;=0"))+B146^2*'Взвешенная регрессия'!$B$125+'Взвешенная регрессия'!$B$126+2*B146*'Взвешенная регрессия'!$B$127)/IF('Ввод'!$B$6=1,'Регрессия'!$B$7,'Взвешенная регрессия'!$B$120)^2</f>
        <v/>
      </c>
      <c r="D146" s="6">
        <f>IF(C146&lt;0,NA(),SQRT(C146))</f>
        <v/>
      </c>
      <c r="E146" s="6">
        <f>SQRT(D146^2+(A146*'Ввод'!$B$5)^2)</f>
        <v/>
      </c>
      <c r="F146" s="6">
        <f>2*E146</f>
        <v/>
      </c>
      <c r="G146" s="6">
        <f>IF(ABS(A146-'Неопределенность'!$B$1)&lt;=$B$2/2,"← x_pred","")</f>
        <v/>
      </c>
    </row>
    <row r="147">
      <c r="A147" s="6">
        <f>MIN('Ввод'!$B$9:$B$108)+(ROW()-4)*$B$2</f>
        <v/>
      </c>
      <c r="B147" s="6">
        <f>IF('Ввод'!$B$6=1,A147-'Регрессия'!$B$3,A147-'Взвешенная регрессия'!$B$128+'Взвешенная регрессия'!$B$121/'Взвешенная регрессия'!$B$120)</f>
        <v/>
      </c>
      <c r="C147" s="6">
        <f>IF('Ввод'!$B$6=1,'Регрессия'!$B$6*(1/'Ввод'!$B$4+1/'Регрессия'!$B$2+B147^2/'Регрессия'!$B$5)+'Регрессия'!$B$10+B147^2*'Регрессия'!$B$9+2*B147*'Регрессия'!$B$11,'Взвешенная регрессия'!$B$124*(1/'Ввод'!$B$4+1/COUNTIFS('Взвешенная регрессия'!$A$11:$A$110,"&gt;=0"))+B147^2*'Взвешенная регрессия'!$B$125+'Взвешенная регрессия'!$B$126+2*B147*'Взвешенная регрессия'!$B$127)/IF('Ввод'!$B$6=1,'Регрессия'!$B$7,'Взвешенная регрессия'!$B$120)^2</f>
        <v/>
      </c>
      <c r="D147" s="6">
        <f>IF(C147&lt;0,NA(),SQRT(C147))</f>
        <v/>
      </c>
      <c r="E147" s="6">
        <f>SQRT(D147^2+(A147*'Ввод'!$B$5)^2)</f>
        <v/>
      </c>
      <c r="F147" s="6">
        <f>2*E147</f>
        <v/>
      </c>
      <c r="G147" s="6">
        <f>IF(ABS(A147-'Неопределенность'!$B$1)&lt;=$B$2/2,"← x_pred","")</f>
        <v/>
      </c>
    </row>
    <row r="148">
      <c r="A148" s="6">
        <f>MIN('Ввод'!$B$9:$B$108)+(ROW()-4)*$B$2</f>
        <v/>
      </c>
      <c r="B148" s="6">
        <f>IF('Ввод'!$B$6=1,A148-'Регрессия'!$B$3,A148-'Взвешенная регрессия'!$B$128+'Взвешенная регрессия'!$B$121/'Взвешенная регрессия'!$B$120)</f>
        <v/>
      </c>
      <c r="C148" s="6">
        <f>IF('Ввод'!$B$6=1,'Регрессия'!$B$6*(1/'Ввод'!$B$4+1/'Регрессия'!$B$2+B148^2/'Регрессия'!$B$5)+'Регрессия'!$B$10+B148^2*'Регрессия'!$B$9+2*B148*'Регрессия'!$B$11,'Взвешенная регрессия'!$B$124*(1/'Ввод'!$B$4+1/COUNTIFS('Взвешенная регрессия'!$A$11:$A$110,"&gt;=0"))+B148^2*'Взвешенная регрессия'!$B$125+'Взвешенная регрессия'!$B$126+2*B148*'Взвешенная регрессия'!$B$127)/IF('Ввод'!$B$6=1,'Регрессия'!$B$7,'Взвешенная регрессия'!$B$120)^2</f>
        <v/>
      </c>
      <c r="D148" s="6">
        <f>IF(C148&lt;0,NA(),SQRT(C148))</f>
        <v/>
      </c>
      <c r="E148" s="6">
        <f>SQRT(D148^2+(A148*'Ввод'!$B$5)^2)</f>
        <v/>
      </c>
      <c r="F148" s="6">
        <f>2*E148</f>
        <v/>
      </c>
      <c r="G148" s="6">
        <f>IF(ABS(A148-'Неопределенность'!$B$1)&lt;=$B$2/2,"← x_pred","")</f>
        <v/>
      </c>
    </row>
    <row r="149">
      <c r="A149" s="6">
        <f>MIN('Ввод'!$B$9:$B$108)+(ROW()-4)*$B$2</f>
        <v/>
      </c>
      <c r="B149" s="6">
        <f>IF('Ввод'!$B$6=1,A149-'Регрессия'!$B$3,A149-'Взвешенная регрессия'!$B$128+'Взвешенная регрессия'!$B$121/'Взвешенная регрессия'!$B$120)</f>
        <v/>
      </c>
      <c r="C149" s="6">
        <f>IF('Ввод'!$B$6=1,'Регрессия'!$B$6*(1/'Ввод'!$B$4+1/'Регрессия'!$B$2+B149^2/'Регрессия'!$B$5)+'Регрессия'!$B$10+B149^2*'Регрессия'!$B$9+2*B149*'Регрессия'!$B$11,'Взвешенная регрессия'!$B$124*(1/'Ввод'!$B$4+1/COUNTIFS('Взвешенная регрессия'!$A$11:$A$110,"&gt;=0"))+B149^2*'Взвешенная регрессия'!$B$125+'Взвешенная регрессия'!$B$126+2*B149*'Взвешенная регрессия'!$B$127)/IF('Ввод'!$B$6=1,'Регрессия'!$B$7,'Взвешенная регрессия'!$B$120)^2</f>
        <v/>
      </c>
      <c r="D149" s="6">
        <f>IF(C149&lt;0,NA(),SQRT(C149))</f>
        <v/>
      </c>
      <c r="E149" s="6">
        <f>SQRT(D149^2+(A149*'Ввод'!$B$5)^2)</f>
        <v/>
      </c>
      <c r="F149" s="6">
        <f>2*E149</f>
        <v/>
      </c>
      <c r="G149" s="6">
        <f>IF(ABS(A149-'Неопределенность'!$B$1)&lt;=$B$2/2,"← x_pred","")</f>
        <v/>
      </c>
    </row>
    <row r="150">
      <c r="A150" s="6">
        <f>MIN('Ввод'!$B$9:$B$108)+(ROW()-4)*$B$2</f>
        <v/>
      </c>
      <c r="B150" s="6">
        <f>IF('Ввод'!$B$6=1,A150-'Регрессия'!$B$3,A150-'Взвешенная регрессия'!$B$128+'Взвешенная регрессия'!$B$121/'Взвешенная регрессия'!$B$120)</f>
        <v/>
      </c>
      <c r="C150" s="6">
        <f>IF('Ввод'!$B$6=1,'Регрессия'!$B$6*(1/'Ввод'!$B$4+1/'Регрессия'!$B$2+B150^2/'Регрессия'!$B$5)+'Регрессия'!$B$10+B150^2*'Регрессия'!$B$9+2*B150*'Регрессия'!$B$11,'Взвешенная регрессия'!$B$124*(1/'Ввод'!$B$4+1/COUNTIFS('Взвешенная регрессия'!$A$11:$A$110,"&gt;=0"))+B150^2*'Взвешенная регрессия'!$B$125+'Взвешенная регрессия'!$B$126+2*B150*'Взвешенная регрессия'!$B$127)/IF('Ввод'!$B$6=1,'Регрессия'!$B$7,'Взвешенная регрессия'!$B$120)^2</f>
        <v/>
      </c>
      <c r="D150" s="6">
        <f>IF(C150&lt;0,NA(),SQRT(C150))</f>
        <v/>
      </c>
      <c r="E150" s="6">
        <f>SQRT(D150^2+(A150*'Ввод'!$B$5)^2)</f>
        <v/>
      </c>
      <c r="F150" s="6">
        <f>2*E150</f>
        <v/>
      </c>
      <c r="G150" s="6">
        <f>IF(ABS(A150-'Неопределенность'!$B$1)&lt;=$B$2/2,"← x_pred","")</f>
        <v/>
      </c>
    </row>
    <row r="151">
      <c r="A151" s="6">
        <f>MIN('Ввод'!$B$9:$B$108)+(ROW()-4)*$B$2</f>
        <v/>
      </c>
      <c r="B151" s="6">
        <f>IF('Ввод'!$B$6=1,A151-'Регрессия'!$B$3,A151-'Взвешенная регрессия'!$B$128+'Взвешенная регрессия'!$B$121/'Взвешенная регрессия'!$B$120)</f>
        <v/>
      </c>
      <c r="C151" s="6">
        <f>IF('Ввод'!$B$6=1,'Регрессия'!$B$6*(1/'Ввод'!$B$4+1/'Регрессия'!$B$2+B151^2/'Регрессия'!$B$5)+'Регрессия'!$B$10+B151^2*'Регрессия'!$B$9+2*B151*'Регрессия'!$B$11,'Взвешенная регрессия'!$B$124*(1/'Ввод'!$B$4+1/COUNTIFS('Взвешенная регрессия'!$A$11:$A$110,"&gt;=0"))+B151^2*'Взвешенная регрессия'!$B$125+'Взвешенная регрессия'!$B$126+2*B151*'Взвешенная регрессия'!$B$127)/IF('Ввод'!$B$6=1,'Регрессия'!$B$7,'Взвешенная регрессия'!$B$120)^2</f>
        <v/>
      </c>
      <c r="D151" s="6">
        <f>IF(C151&lt;0,NA(),SQRT(C151))</f>
        <v/>
      </c>
      <c r="E151" s="6">
        <f>SQRT(D151^2+(A151*'Ввод'!$B$5)^2)</f>
        <v/>
      </c>
      <c r="F151" s="6">
        <f>2*E151</f>
        <v/>
      </c>
      <c r="G151" s="6">
        <f>IF(ABS(A151-'Неопределенность'!$B$1)&lt;=$B$2/2,"← x_pred","")</f>
        <v/>
      </c>
    </row>
    <row r="152">
      <c r="A152" s="6">
        <f>MIN('Ввод'!$B$9:$B$108)+(ROW()-4)*$B$2</f>
        <v/>
      </c>
      <c r="B152" s="6">
        <f>IF('Ввод'!$B$6=1,A152-'Регрессия'!$B$3,A152-'Взвешенная регрессия'!$B$128+'Взвешенная регрессия'!$B$121/'Взвешенная регрессия'!$B$120)</f>
        <v/>
      </c>
      <c r="C152" s="6">
        <f>IF('Ввод'!$B$6=1,'Регрессия'!$B$6*(1/'Ввод'!$B$4+1/'Регрессия'!$B$2+B152^2/'Регрессия'!$B$5)+'Регрессия'!$B$10+B152^2*'Регрессия'!$B$9+2*B152*'Регрессия'!$B$11,'Взвешенная регрессия'!$B$124*(1/'Ввод'!$B$4+1/COUNTIFS('Взвешенная регрессия'!$A$11:$A$110,"&gt;=0"))+B152^2*'Взвешенная регрессия'!$B$125+'Взвешенная регрессия'!$B$126+2*B152*'Взвешенная регрессия'!$B$127)/IF('Ввод'!$B$6=1,'Регрессия'!$B$7,'Взвешенная регрессия'!$B$120)^2</f>
        <v/>
      </c>
      <c r="D152" s="6">
        <f>IF(C152&lt;0,NA(),SQRT(C152))</f>
        <v/>
      </c>
      <c r="E152" s="6">
        <f>SQRT(D152^2+(A152*'Ввод'!$B$5)^2)</f>
        <v/>
      </c>
      <c r="F152" s="6">
        <f>2*E152</f>
        <v/>
      </c>
      <c r="G152" s="6">
        <f>IF(ABS(A152-'Неопределенность'!$B$1)&lt;=$B$2/2,"← x_pred","")</f>
        <v/>
      </c>
    </row>
    <row r="153">
      <c r="A153" s="6">
        <f>MIN('Ввод'!$B$9:$B$108)+(ROW()-4)*$B$2</f>
        <v/>
      </c>
      <c r="B153" s="6">
        <f>IF('Ввод'!$B$6=1,A153-'Регрессия'!$B$3,A153-'Взвешенная регрессия'!$B$128+'Взвешенная регрессия'!$B$121/'Взвешенная регрессия'!$B$120)</f>
        <v/>
      </c>
      <c r="C153" s="6">
        <f>IF('Ввод'!$B$6=1,'Регрессия'!$B$6*(1/'Ввод'!$B$4+1/'Регрессия'!$B$2+B153^2/'Регрессия'!$B$5)+'Регрессия'!$B$10+B153^2*'Регрессия'!$B$9+2*B153*'Регрессия'!$B$11,'Взвешенная регрессия'!$B$124*(1/'Ввод'!$B$4+1/COUNTIFS('Взвешенная регрессия'!$A$11:$A$110,"&gt;=0"))+B153^2*'Взвешенная регрессия'!$B$125+'Взвешенная регрессия'!$B$126+2*B153*'Взвешенная регрессия'!$B$127)/IF('Ввод'!$B$6=1,'Регрессия'!$B$7,'Взвешенная регрессия'!$B$120)^2</f>
        <v/>
      </c>
      <c r="D153" s="6">
        <f>IF(C153&lt;0,NA(),SQRT(C153))</f>
        <v/>
      </c>
      <c r="E153" s="6">
        <f>SQRT(D153^2+(A153*'Ввод'!$B$5)^2)</f>
        <v/>
      </c>
      <c r="F153" s="6">
        <f>2*E153</f>
        <v/>
      </c>
      <c r="G153" s="6">
        <f>IF(ABS(A153-'Неопределенность'!$B$1)&lt;=$B$2/2,"← x_pred","")</f>
        <v/>
      </c>
    </row>
    <row r="154">
      <c r="A154" s="6">
        <f>MIN('Ввод'!$B$9:$B$108)+(ROW()-4)*$B$2</f>
        <v/>
      </c>
      <c r="B154" s="6">
        <f>IF('Ввод'!$B$6=1,A154-'Регрессия'!$B$3,A154-'Взвешенная регрессия'!$B$128+'Взвешенная регрессия'!$B$121/'Взвешенная регрессия'!$B$120)</f>
        <v/>
      </c>
      <c r="C154" s="6">
        <f>IF('Ввод'!$B$6=1,'Регрессия'!$B$6*(1/'Ввод'!$B$4+1/'Регрессия'!$B$2+B154^2/'Регрессия'!$B$5)+'Регрессия'!$B$10+B154^2*'Регрессия'!$B$9+2*B154*'Регрессия'!$B$11,'Взвешенная регрессия'!$B$124*(1/'Ввод'!$B$4+1/COUNTIFS('Взвешенная регрессия'!$A$11:$A$110,"&gt;=0"))+B154^2*'Взвешенная регрессия'!$B$125+'Взвешенная регрессия'!$B$126+2*B154*'Взвешенная регрессия'!$B$127)/IF('Ввод'!$B$6=1,'Регрессия'!$B$7,'Взвешенная регрессия'!$B$120)^2</f>
        <v/>
      </c>
      <c r="D154" s="6">
        <f>IF(C154&lt;0,NA(),SQRT(C154))</f>
        <v/>
      </c>
      <c r="E154" s="6">
        <f>SQRT(D154^2+(A154*'Ввод'!$B$5)^2)</f>
        <v/>
      </c>
      <c r="F154" s="6">
        <f>2*E154</f>
        <v/>
      </c>
      <c r="G154" s="6">
        <f>IF(ABS(A154-'Неопределенность'!$B$1)&lt;=$B$2/2,"← x_pred","")</f>
        <v/>
      </c>
    </row>
    <row r="155">
      <c r="A155" s="6">
        <f>MIN('Ввод'!$B$9:$B$108)+(ROW()-4)*$B$2</f>
        <v/>
      </c>
      <c r="B155" s="6">
        <f>IF('Ввод'!$B$6=1,A155-'Регрессия'!$B$3,A155-'Взвешенная регрессия'!$B$128+'Взвешенная регрессия'!$B$121/'Взвешенная регрессия'!$B$120)</f>
        <v/>
      </c>
      <c r="C155" s="6">
        <f>IF('Ввод'!$B$6=1,'Регрессия'!$B$6*(1/'Ввод'!$B$4+1/'Регрессия'!$B$2+B155^2/'Регрессия'!$B$5)+'Регрессия'!$B$10+B155^2*'Регрессия'!$B$9+2*B155*'Регрессия'!$B$11,'Взвешенная регрессия'!$B$124*(1/'Ввод'!$B$4+1/COUNTIFS('Взвешенная регрессия'!$A$11:$A$110,"&gt;=0"))+B155^2*'Взвешенная регрессия'!$B$125+'Взвешенная регрессия'!$B$126+2*B155*'Взвешенная регрессия'!$B$127)/IF('Ввод'!$B$6=1,'Регрессия'!$B$7,'Взвешенная регрессия'!$B$120)^2</f>
        <v/>
      </c>
      <c r="D155" s="6">
        <f>IF(C155&lt;0,NA(),SQRT(C155))</f>
        <v/>
      </c>
      <c r="E155" s="6">
        <f>SQRT(D155^2+(A155*'Ввод'!$B$5)^2)</f>
        <v/>
      </c>
      <c r="F155" s="6">
        <f>2*E155</f>
        <v/>
      </c>
      <c r="G155" s="6">
        <f>IF(ABS(A155-'Неопределенность'!$B$1)&lt;=$B$2/2,"← x_pred","")</f>
        <v/>
      </c>
    </row>
    <row r="156">
      <c r="A156" s="6">
        <f>MIN('Ввод'!$B$9:$B$108)+(ROW()-4)*$B$2</f>
        <v/>
      </c>
      <c r="B156" s="6">
        <f>IF('Ввод'!$B$6=1,A156-'Регрессия'!$B$3,A156-'Взвешенная регрессия'!$B$128+'Взвешенная регрессия'!$B$121/'Взвешенная регрессия'!$B$120)</f>
        <v/>
      </c>
      <c r="C156" s="6">
        <f>IF('Ввод'!$B$6=1,'Регрессия'!$B$6*(1/'Ввод'!$B$4+1/'Регрессия'!$B$2+B156^2/'Регрессия'!$B$5)+'Регрессия'!$B$10+B156^2*'Регрессия'!$B$9+2*B156*'Регрессия'!$B$11,'Взвешенная регрессия'!$B$124*(1/'Ввод'!$B$4+1/COUNTIFS('Взвешенная регрессия'!$A$11:$A$110,"&gt;=0"))+B156^2*'Взвешенная регрессия'!$B$125+'Взвешенная регрессия'!$B$126+2*B156*'Взвешенная регрессия'!$B$127)/IF('Ввод'!$B$6=1,'Регрессия'!$B$7,'Взвешенная регрессия'!$B$120)^2</f>
        <v/>
      </c>
      <c r="D156" s="6">
        <f>IF(C156&lt;0,NA(),SQRT(C156))</f>
        <v/>
      </c>
      <c r="E156" s="6">
        <f>SQRT(D156^2+(A156*'Ввод'!$B$5)^2)</f>
        <v/>
      </c>
      <c r="F156" s="6">
        <f>2*E156</f>
        <v/>
      </c>
      <c r="G156" s="6">
        <f>IF(ABS(A156-'Неопределенность'!$B$1)&lt;=$B$2/2,"← x_pred","")</f>
        <v/>
      </c>
    </row>
    <row r="157">
      <c r="A157" s="6">
        <f>MIN('Ввод'!$B$9:$B$108)+(ROW()-4)*$B$2</f>
        <v/>
      </c>
      <c r="B157" s="6">
        <f>IF('Ввод'!$B$6=1,A157-'Регрессия'!$B$3,A157-'Взвешенная регрессия'!$B$128+'Взвешенная регрессия'!$B$121/'Взвешенная регрессия'!$B$120)</f>
        <v/>
      </c>
      <c r="C157" s="6">
        <f>IF('Ввод'!$B$6=1,'Регрессия'!$B$6*(1/'Ввод'!$B$4+1/'Регрессия'!$B$2+B157^2/'Регрессия'!$B$5)+'Регрессия'!$B$10+B157^2*'Регрессия'!$B$9+2*B157*'Регрессия'!$B$11,'Взвешенная регрессия'!$B$124*(1/'Ввод'!$B$4+1/COUNTIFS('Взвешенная регрессия'!$A$11:$A$110,"&gt;=0"))+B157^2*'Взвешенная регрессия'!$B$125+'Взвешенная регрессия'!$B$126+2*B157*'Взвешенная регрессия'!$B$127)/IF('Ввод'!$B$6=1,'Регрессия'!$B$7,'Взвешенная регрессия'!$B$120)^2</f>
        <v/>
      </c>
      <c r="D157" s="6">
        <f>IF(C157&lt;0,NA(),SQRT(C157))</f>
        <v/>
      </c>
      <c r="E157" s="6">
        <f>SQRT(D157^2+(A157*'Ввод'!$B$5)^2)</f>
        <v/>
      </c>
      <c r="F157" s="6">
        <f>2*E157</f>
        <v/>
      </c>
      <c r="G157" s="6">
        <f>IF(ABS(A157-'Неопределенность'!$B$1)&lt;=$B$2/2,"← x_pred","")</f>
        <v/>
      </c>
    </row>
    <row r="158">
      <c r="A158" s="6">
        <f>MIN('Ввод'!$B$9:$B$108)+(ROW()-4)*$B$2</f>
        <v/>
      </c>
      <c r="B158" s="6">
        <f>IF('Ввод'!$B$6=1,A158-'Регрессия'!$B$3,A158-'Взвешенная регрессия'!$B$128+'Взвешенная регрессия'!$B$121/'Взвешенная регрессия'!$B$120)</f>
        <v/>
      </c>
      <c r="C158" s="6">
        <f>IF('Ввод'!$B$6=1,'Регрессия'!$B$6*(1/'Ввод'!$B$4+1/'Регрессия'!$B$2+B158^2/'Регрессия'!$B$5)+'Регрессия'!$B$10+B158^2*'Регрессия'!$B$9+2*B158*'Регрессия'!$B$11,'Взвешенная регрессия'!$B$124*(1/'Ввод'!$B$4+1/COUNTIFS('Взвешенная регрессия'!$A$11:$A$110,"&gt;=0"))+B158^2*'Взвешенная регрессия'!$B$125+'Взвешенная регрессия'!$B$126+2*B158*'Взвешенная регрессия'!$B$127)/IF('Ввод'!$B$6=1,'Регрессия'!$B$7,'Взвешенная регрессия'!$B$120)^2</f>
        <v/>
      </c>
      <c r="D158" s="6">
        <f>IF(C158&lt;0,NA(),SQRT(C158))</f>
        <v/>
      </c>
      <c r="E158" s="6">
        <f>SQRT(D158^2+(A158*'Ввод'!$B$5)^2)</f>
        <v/>
      </c>
      <c r="F158" s="6">
        <f>2*E158</f>
        <v/>
      </c>
      <c r="G158" s="6">
        <f>IF(ABS(A158-'Неопределенность'!$B$1)&lt;=$B$2/2,"← x_pred","")</f>
        <v/>
      </c>
    </row>
    <row r="159">
      <c r="A159" s="6">
        <f>MIN('Ввод'!$B$9:$B$108)+(ROW()-4)*$B$2</f>
        <v/>
      </c>
      <c r="B159" s="6">
        <f>IF('Ввод'!$B$6=1,A159-'Регрессия'!$B$3,A159-'Взвешенная регрессия'!$B$128+'Взвешенная регрессия'!$B$121/'Взвешенная регрессия'!$B$120)</f>
        <v/>
      </c>
      <c r="C159" s="6">
        <f>IF('Ввод'!$B$6=1,'Регрессия'!$B$6*(1/'Ввод'!$B$4+1/'Регрессия'!$B$2+B159^2/'Регрессия'!$B$5)+'Регрессия'!$B$10+B159^2*'Регрессия'!$B$9+2*B159*'Регрессия'!$B$11,'Взвешенная регрессия'!$B$124*(1/'Ввод'!$B$4+1/COUNTIFS('Взвешенная регрессия'!$A$11:$A$110,"&gt;=0"))+B159^2*'Взвешенная регрессия'!$B$125+'Взвешенная регрессия'!$B$126+2*B159*'Взвешенная регрессия'!$B$127)/IF('Ввод'!$B$6=1,'Регрессия'!$B$7,'Взвешенная регрессия'!$B$120)^2</f>
        <v/>
      </c>
      <c r="D159" s="6">
        <f>IF(C159&lt;0,NA(),SQRT(C159))</f>
        <v/>
      </c>
      <c r="E159" s="6">
        <f>SQRT(D159^2+(A159*'Ввод'!$B$5)^2)</f>
        <v/>
      </c>
      <c r="F159" s="6">
        <f>2*E159</f>
        <v/>
      </c>
      <c r="G159" s="6">
        <f>IF(ABS(A159-'Неопределенность'!$B$1)&lt;=$B$2/2,"← x_pred","")</f>
        <v/>
      </c>
    </row>
    <row r="160">
      <c r="A160" s="6">
        <f>MIN('Ввод'!$B$9:$B$108)+(ROW()-4)*$B$2</f>
        <v/>
      </c>
      <c r="B160" s="6">
        <f>IF('Ввод'!$B$6=1,A160-'Регрессия'!$B$3,A160-'Взвешенная регрессия'!$B$128+'Взвешенная регрессия'!$B$121/'Взвешенная регрессия'!$B$120)</f>
        <v/>
      </c>
      <c r="C160" s="6">
        <f>IF('Ввод'!$B$6=1,'Регрессия'!$B$6*(1/'Ввод'!$B$4+1/'Регрессия'!$B$2+B160^2/'Регрессия'!$B$5)+'Регрессия'!$B$10+B160^2*'Регрессия'!$B$9+2*B160*'Регрессия'!$B$11,'Взвешенная регрессия'!$B$124*(1/'Ввод'!$B$4+1/COUNTIFS('Взвешенная регрессия'!$A$11:$A$110,"&gt;=0"))+B160^2*'Взвешенная регрессия'!$B$125+'Взвешенная регрессия'!$B$126+2*B160*'Взвешенная регрессия'!$B$127)/IF('Ввод'!$B$6=1,'Регрессия'!$B$7,'Взвешенная регрессия'!$B$120)^2</f>
        <v/>
      </c>
      <c r="D160" s="6">
        <f>IF(C160&lt;0,NA(),SQRT(C160))</f>
        <v/>
      </c>
      <c r="E160" s="6">
        <f>SQRT(D160^2+(A160*'Ввод'!$B$5)^2)</f>
        <v/>
      </c>
      <c r="F160" s="6">
        <f>2*E160</f>
        <v/>
      </c>
      <c r="G160" s="6">
        <f>IF(ABS(A160-'Неопределенность'!$B$1)&lt;=$B$2/2,"← x_pred","")</f>
        <v/>
      </c>
    </row>
    <row r="161">
      <c r="A161" s="6">
        <f>MIN('Ввод'!$B$9:$B$108)+(ROW()-4)*$B$2</f>
        <v/>
      </c>
      <c r="B161" s="6">
        <f>IF('Ввод'!$B$6=1,A161-'Регрессия'!$B$3,A161-'Взвешенная регрессия'!$B$128+'Взвешенная регрессия'!$B$121/'Взвешенная регрессия'!$B$120)</f>
        <v/>
      </c>
      <c r="C161" s="6">
        <f>IF('Ввод'!$B$6=1,'Регрессия'!$B$6*(1/'Ввод'!$B$4+1/'Регрессия'!$B$2+B161^2/'Регрессия'!$B$5)+'Регрессия'!$B$10+B161^2*'Регрессия'!$B$9+2*B161*'Регрессия'!$B$11,'Взвешенная регрессия'!$B$124*(1/'Ввод'!$B$4+1/COUNTIFS('Взвешенная регрессия'!$A$11:$A$110,"&gt;=0"))+B161^2*'Взвешенная регрессия'!$B$125+'Взвешенная регрессия'!$B$126+2*B161*'Взвешенная регрессия'!$B$127)/IF('Ввод'!$B$6=1,'Регрессия'!$B$7,'Взвешенная регрессия'!$B$120)^2</f>
        <v/>
      </c>
      <c r="D161" s="6">
        <f>IF(C161&lt;0,NA(),SQRT(C161))</f>
        <v/>
      </c>
      <c r="E161" s="6">
        <f>SQRT(D161^2+(A161*'Ввод'!$B$5)^2)</f>
        <v/>
      </c>
      <c r="F161" s="6">
        <f>2*E161</f>
        <v/>
      </c>
      <c r="G161" s="6">
        <f>IF(ABS(A161-'Неопределенность'!$B$1)&lt;=$B$2/2,"← x_pred","")</f>
        <v/>
      </c>
    </row>
    <row r="162">
      <c r="A162" s="6">
        <f>MIN('Ввод'!$B$9:$B$108)+(ROW()-4)*$B$2</f>
        <v/>
      </c>
      <c r="B162" s="6">
        <f>IF('Ввод'!$B$6=1,A162-'Регрессия'!$B$3,A162-'Взвешенная регрессия'!$B$128+'Взвешенная регрессия'!$B$121/'Взвешенная регрессия'!$B$120)</f>
        <v/>
      </c>
      <c r="C162" s="6">
        <f>IF('Ввод'!$B$6=1,'Регрессия'!$B$6*(1/'Ввод'!$B$4+1/'Регрессия'!$B$2+B162^2/'Регрессия'!$B$5)+'Регрессия'!$B$10+B162^2*'Регрессия'!$B$9+2*B162*'Регрессия'!$B$11,'Взвешенная регрессия'!$B$124*(1/'Ввод'!$B$4+1/COUNTIFS('Взвешенная регрессия'!$A$11:$A$110,"&gt;=0"))+B162^2*'Взвешенная регрессия'!$B$125+'Взвешенная регрессия'!$B$126+2*B162*'Взвешенная регрессия'!$B$127)/IF('Ввод'!$B$6=1,'Регрессия'!$B$7,'Взвешенная регрессия'!$B$120)^2</f>
        <v/>
      </c>
      <c r="D162" s="6">
        <f>IF(C162&lt;0,NA(),SQRT(C162))</f>
        <v/>
      </c>
      <c r="E162" s="6">
        <f>SQRT(D162^2+(A162*'Ввод'!$B$5)^2)</f>
        <v/>
      </c>
      <c r="F162" s="6">
        <f>2*E162</f>
        <v/>
      </c>
      <c r="G162" s="6">
        <f>IF(ABS(A162-'Неопределенность'!$B$1)&lt;=$B$2/2,"← x_pred","")</f>
        <v/>
      </c>
    </row>
    <row r="163">
      <c r="A163" s="6">
        <f>MIN('Ввод'!$B$9:$B$108)+(ROW()-4)*$B$2</f>
        <v/>
      </c>
      <c r="B163" s="6">
        <f>IF('Ввод'!$B$6=1,A163-'Регрессия'!$B$3,A163-'Взвешенная регрессия'!$B$128+'Взвешенная регрессия'!$B$121/'Взвешенная регрессия'!$B$120)</f>
        <v/>
      </c>
      <c r="C163" s="6">
        <f>IF('Ввод'!$B$6=1,'Регрессия'!$B$6*(1/'Ввод'!$B$4+1/'Регрессия'!$B$2+B163^2/'Регрессия'!$B$5)+'Регрессия'!$B$10+B163^2*'Регрессия'!$B$9+2*B163*'Регрессия'!$B$11,'Взвешенная регрессия'!$B$124*(1/'Ввод'!$B$4+1/COUNTIFS('Взвешенная регрессия'!$A$11:$A$110,"&gt;=0"))+B163^2*'Взвешенная регрессия'!$B$125+'Взвешенная регрессия'!$B$126+2*B163*'Взвешенная регрессия'!$B$127)/IF('Ввод'!$B$6=1,'Регрессия'!$B$7,'Взвешенная регрессия'!$B$120)^2</f>
        <v/>
      </c>
      <c r="D163" s="6">
        <f>IF(C163&lt;0,NA(),SQRT(C163))</f>
        <v/>
      </c>
      <c r="E163" s="6">
        <f>SQRT(D163^2+(A163*'Ввод'!$B$5)^2)</f>
        <v/>
      </c>
      <c r="F163" s="6">
        <f>2*E163</f>
        <v/>
      </c>
      <c r="G163" s="6">
        <f>IF(ABS(A163-'Неопределенность'!$B$1)&lt;=$B$2/2,"← x_pred","")</f>
        <v/>
      </c>
    </row>
    <row r="164">
      <c r="A164" s="6">
        <f>MIN('Ввод'!$B$9:$B$108)+(ROW()-4)*$B$2</f>
        <v/>
      </c>
      <c r="B164" s="6">
        <f>IF('Ввод'!$B$6=1,A164-'Регрессия'!$B$3,A164-'Взвешенная регрессия'!$B$128+'Взвешенная регрессия'!$B$121/'Взвешенная регрессия'!$B$120)</f>
        <v/>
      </c>
      <c r="C164" s="6">
        <f>IF('Ввод'!$B$6=1,'Регрессия'!$B$6*(1/'Ввод'!$B$4+1/'Регрессия'!$B$2+B164^2/'Регрессия'!$B$5)+'Регрессия'!$B$10+B164^2*'Регрессия'!$B$9+2*B164*'Регрессия'!$B$11,'Взвешенная регрессия'!$B$124*(1/'Ввод'!$B$4+1/COUNTIFS('Взвешенная регрессия'!$A$11:$A$110,"&gt;=0"))+B164^2*'Взвешенная регрессия'!$B$125+'Взвешенная регрессия'!$B$126+2*B164*'Взвешенная регрессия'!$B$127)/IF('Ввод'!$B$6=1,'Регрессия'!$B$7,'Взвешенная регрессия'!$B$120)^2</f>
        <v/>
      </c>
      <c r="D164" s="6">
        <f>IF(C164&lt;0,NA(),SQRT(C164))</f>
        <v/>
      </c>
      <c r="E164" s="6">
        <f>SQRT(D164^2+(A164*'Ввод'!$B$5)^2)</f>
        <v/>
      </c>
      <c r="F164" s="6">
        <f>2*E164</f>
        <v/>
      </c>
      <c r="G164" s="6">
        <f>IF(ABS(A164-'Неопределенность'!$B$1)&lt;=$B$2/2,"← x_pred","")</f>
        <v/>
      </c>
    </row>
    <row r="165">
      <c r="A165" s="6">
        <f>MIN('Ввод'!$B$9:$B$108)+(ROW()-4)*$B$2</f>
        <v/>
      </c>
      <c r="B165" s="6">
        <f>IF('Ввод'!$B$6=1,A165-'Регрессия'!$B$3,A165-'Взвешенная регрессия'!$B$128+'Взвешенная регрессия'!$B$121/'Взвешенная регрессия'!$B$120)</f>
        <v/>
      </c>
      <c r="C165" s="6">
        <f>IF('Ввод'!$B$6=1,'Регрессия'!$B$6*(1/'Ввод'!$B$4+1/'Регрессия'!$B$2+B165^2/'Регрессия'!$B$5)+'Регрессия'!$B$10+B165^2*'Регрессия'!$B$9+2*B165*'Регрессия'!$B$11,'Взвешенная регрессия'!$B$124*(1/'Ввод'!$B$4+1/COUNTIFS('Взвешенная регрессия'!$A$11:$A$110,"&gt;=0"))+B165^2*'Взвешенная регрессия'!$B$125+'Взвешенная регрессия'!$B$126+2*B165*'Взвешенная регрессия'!$B$127)/IF('Ввод'!$B$6=1,'Регрессия'!$B$7,'Взвешенная регрессия'!$B$120)^2</f>
        <v/>
      </c>
      <c r="D165" s="6">
        <f>IF(C165&lt;0,NA(),SQRT(C165))</f>
        <v/>
      </c>
      <c r="E165" s="6">
        <f>SQRT(D165^2+(A165*'Ввод'!$B$5)^2)</f>
        <v/>
      </c>
      <c r="F165" s="6">
        <f>2*E165</f>
        <v/>
      </c>
      <c r="G165" s="6">
        <f>IF(ABS(A165-'Неопределенность'!$B$1)&lt;=$B$2/2,"← x_pred","")</f>
        <v/>
      </c>
    </row>
    <row r="166">
      <c r="A166" s="6">
        <f>MIN('Ввод'!$B$9:$B$108)+(ROW()-4)*$B$2</f>
        <v/>
      </c>
      <c r="B166" s="6">
        <f>IF('Ввод'!$B$6=1,A166-'Регрессия'!$B$3,A166-'Взвешенная регрессия'!$B$128+'Взвешенная регрессия'!$B$121/'Взвешенная регрессия'!$B$120)</f>
        <v/>
      </c>
      <c r="C166" s="6">
        <f>IF('Ввод'!$B$6=1,'Регрессия'!$B$6*(1/'Ввод'!$B$4+1/'Регрессия'!$B$2+B166^2/'Регрессия'!$B$5)+'Регрессия'!$B$10+B166^2*'Регрессия'!$B$9+2*B166*'Регрессия'!$B$11,'Взвешенная регрессия'!$B$124*(1/'Ввод'!$B$4+1/COUNTIFS('Взвешенная регрессия'!$A$11:$A$110,"&gt;=0"))+B166^2*'Взвешенная регрессия'!$B$125+'Взвешенная регрессия'!$B$126+2*B166*'Взвешенная регрессия'!$B$127)/IF('Ввод'!$B$6=1,'Регрессия'!$B$7,'Взвешенная регрессия'!$B$120)^2</f>
        <v/>
      </c>
      <c r="D166" s="6">
        <f>IF(C166&lt;0,NA(),SQRT(C166))</f>
        <v/>
      </c>
      <c r="E166" s="6">
        <f>SQRT(D166^2+(A166*'Ввод'!$B$5)^2)</f>
        <v/>
      </c>
      <c r="F166" s="6">
        <f>2*E166</f>
        <v/>
      </c>
      <c r="G166" s="6">
        <f>IF(ABS(A166-'Неопределенность'!$B$1)&lt;=$B$2/2,"← x_pred","")</f>
        <v/>
      </c>
    </row>
    <row r="167">
      <c r="A167" s="6">
        <f>MIN('Ввод'!$B$9:$B$108)+(ROW()-4)*$B$2</f>
        <v/>
      </c>
      <c r="B167" s="6">
        <f>IF('Ввод'!$B$6=1,A167-'Регрессия'!$B$3,A167-'Взвешенная регрессия'!$B$128+'Взвешенная регрессия'!$B$121/'Взвешенная регрессия'!$B$120)</f>
        <v/>
      </c>
      <c r="C167" s="6">
        <f>IF('Ввод'!$B$6=1,'Регрессия'!$B$6*(1/'Ввод'!$B$4+1/'Регрессия'!$B$2+B167^2/'Регрессия'!$B$5)+'Регрессия'!$B$10+B167^2*'Регрессия'!$B$9+2*B167*'Регрессия'!$B$11,'Взвешенная регрессия'!$B$124*(1/'Ввод'!$B$4+1/COUNTIFS('Взвешенная регрессия'!$A$11:$A$110,"&gt;=0"))+B167^2*'Взвешенная регрессия'!$B$125+'Взвешенная регрессия'!$B$126+2*B167*'Взвешенная регрессия'!$B$127)/IF('Ввод'!$B$6=1,'Регрессия'!$B$7,'Взвешенная регрессия'!$B$120)^2</f>
        <v/>
      </c>
      <c r="D167" s="6">
        <f>IF(C167&lt;0,NA(),SQRT(C167))</f>
        <v/>
      </c>
      <c r="E167" s="6">
        <f>SQRT(D167^2+(A167*'Ввод'!$B$5)^2)</f>
        <v/>
      </c>
      <c r="F167" s="6">
        <f>2*E167</f>
        <v/>
      </c>
      <c r="G167" s="6">
        <f>IF(ABS(A167-'Неопределенность'!$B$1)&lt;=$B$2/2,"← x_pred","")</f>
        <v/>
      </c>
    </row>
    <row r="168">
      <c r="A168" s="6">
        <f>MIN('Ввод'!$B$9:$B$108)+(ROW()-4)*$B$2</f>
        <v/>
      </c>
      <c r="B168" s="6">
        <f>IF('Ввод'!$B$6=1,A168-'Регрессия'!$B$3,A168-'Взвешенная регрессия'!$B$128+'Взвешенная регрессия'!$B$121/'Взвешенная регрессия'!$B$120)</f>
        <v/>
      </c>
      <c r="C168" s="6">
        <f>IF('Ввод'!$B$6=1,'Регрессия'!$B$6*(1/'Ввод'!$B$4+1/'Регрессия'!$B$2+B168^2/'Регрессия'!$B$5)+'Регрессия'!$B$10+B168^2*'Регрессия'!$B$9+2*B168*'Регрессия'!$B$11,'Взвешенная регрессия'!$B$124*(1/'Ввод'!$B$4+1/COUNTIFS('Взвешенная регрессия'!$A$11:$A$110,"&gt;=0"))+B168^2*'Взвешенная регрессия'!$B$125+'Взвешенная регрессия'!$B$126+2*B168*'Взвешенная регрессия'!$B$127)/IF('Ввод'!$B$6=1,'Регрессия'!$B$7,'Взвешенная регрессия'!$B$120)^2</f>
        <v/>
      </c>
      <c r="D168" s="6">
        <f>IF(C168&lt;0,NA(),SQRT(C168))</f>
        <v/>
      </c>
      <c r="E168" s="6">
        <f>SQRT(D168^2+(A168*'Ввод'!$B$5)^2)</f>
        <v/>
      </c>
      <c r="F168" s="6">
        <f>2*E168</f>
        <v/>
      </c>
      <c r="G168" s="6">
        <f>IF(ABS(A168-'Неопределенность'!$B$1)&lt;=$B$2/2,"← x_pred","")</f>
        <v/>
      </c>
    </row>
    <row r="169">
      <c r="A169" s="6">
        <f>MIN('Ввод'!$B$9:$B$108)+(ROW()-4)*$B$2</f>
        <v/>
      </c>
      <c r="B169" s="6">
        <f>IF('Ввод'!$B$6=1,A169-'Регрессия'!$B$3,A169-'Взвешенная регрессия'!$B$128+'Взвешенная регрессия'!$B$121/'Взвешенная регрессия'!$B$120)</f>
        <v/>
      </c>
      <c r="C169" s="6">
        <f>IF('Ввод'!$B$6=1,'Регрессия'!$B$6*(1/'Ввод'!$B$4+1/'Регрессия'!$B$2+B169^2/'Регрессия'!$B$5)+'Регрессия'!$B$10+B169^2*'Регрессия'!$B$9+2*B169*'Регрессия'!$B$11,'Взвешенная регрессия'!$B$124*(1/'Ввод'!$B$4+1/COUNTIFS('Взвешенная регрессия'!$A$11:$A$110,"&gt;=0"))+B169^2*'Взвешенная регрессия'!$B$125+'Взвешенная регрессия'!$B$126+2*B169*'Взвешенная регрессия'!$B$127)/IF('Ввод'!$B$6=1,'Регрессия'!$B$7,'Взвешенная регрессия'!$B$120)^2</f>
        <v/>
      </c>
      <c r="D169" s="6">
        <f>IF(C169&lt;0,NA(),SQRT(C169))</f>
        <v/>
      </c>
      <c r="E169" s="6">
        <f>SQRT(D169^2+(A169*'Ввод'!$B$5)^2)</f>
        <v/>
      </c>
      <c r="F169" s="6">
        <f>2*E169</f>
        <v/>
      </c>
      <c r="G169" s="6">
        <f>IF(ABS(A169-'Неопределенность'!$B$1)&lt;=$B$2/2,"← x_pred","")</f>
        <v/>
      </c>
    </row>
    <row r="170">
      <c r="A170" s="6">
        <f>MIN('Ввод'!$B$9:$B$108)+(ROW()-4)*$B$2</f>
        <v/>
      </c>
      <c r="B170" s="6">
        <f>IF('Ввод'!$B$6=1,A170-'Регрессия'!$B$3,A170-'Взвешенная регрессия'!$B$128+'Взвешенная регрессия'!$B$121/'Взвешенная регрессия'!$B$120)</f>
        <v/>
      </c>
      <c r="C170" s="6">
        <f>IF('Ввод'!$B$6=1,'Регрессия'!$B$6*(1/'Ввод'!$B$4+1/'Регрессия'!$B$2+B170^2/'Регрессия'!$B$5)+'Регрессия'!$B$10+B170^2*'Регрессия'!$B$9+2*B170*'Регрессия'!$B$11,'Взвешенная регрессия'!$B$124*(1/'Ввод'!$B$4+1/COUNTIFS('Взвешенная регрессия'!$A$11:$A$110,"&gt;=0"))+B170^2*'Взвешенная регрессия'!$B$125+'Взвешенная регрессия'!$B$126+2*B170*'Взвешенная регрессия'!$B$127)/IF('Ввод'!$B$6=1,'Регрессия'!$B$7,'Взвешенная регрессия'!$B$120)^2</f>
        <v/>
      </c>
      <c r="D170" s="6">
        <f>IF(C170&lt;0,NA(),SQRT(C170))</f>
        <v/>
      </c>
      <c r="E170" s="6">
        <f>SQRT(D170^2+(A170*'Ввод'!$B$5)^2)</f>
        <v/>
      </c>
      <c r="F170" s="6">
        <f>2*E170</f>
        <v/>
      </c>
      <c r="G170" s="6">
        <f>IF(ABS(A170-'Неопределенность'!$B$1)&lt;=$B$2/2,"← x_pred","")</f>
        <v/>
      </c>
    </row>
    <row r="171">
      <c r="A171" s="6">
        <f>MIN('Ввод'!$B$9:$B$108)+(ROW()-4)*$B$2</f>
        <v/>
      </c>
      <c r="B171" s="6">
        <f>IF('Ввод'!$B$6=1,A171-'Регрессия'!$B$3,A171-'Взвешенная регрессия'!$B$128+'Взвешенная регрессия'!$B$121/'Взвешенная регрессия'!$B$120)</f>
        <v/>
      </c>
      <c r="C171" s="6">
        <f>IF('Ввод'!$B$6=1,'Регрессия'!$B$6*(1/'Ввод'!$B$4+1/'Регрессия'!$B$2+B171^2/'Регрессия'!$B$5)+'Регрессия'!$B$10+B171^2*'Регрессия'!$B$9+2*B171*'Регрессия'!$B$11,'Взвешенная регрессия'!$B$124*(1/'Ввод'!$B$4+1/COUNTIFS('Взвешенная регрессия'!$A$11:$A$110,"&gt;=0"))+B171^2*'Взвешенная регрессия'!$B$125+'Взвешенная регрессия'!$B$126+2*B171*'Взвешенная регрессия'!$B$127)/IF('Ввод'!$B$6=1,'Регрессия'!$B$7,'Взвешенная регрессия'!$B$120)^2</f>
        <v/>
      </c>
      <c r="D171" s="6">
        <f>IF(C171&lt;0,NA(),SQRT(C171))</f>
        <v/>
      </c>
      <c r="E171" s="6">
        <f>SQRT(D171^2+(A171*'Ввод'!$B$5)^2)</f>
        <v/>
      </c>
      <c r="F171" s="6">
        <f>2*E171</f>
        <v/>
      </c>
      <c r="G171" s="6">
        <f>IF(ABS(A171-'Неопределенность'!$B$1)&lt;=$B$2/2,"← x_pred","")</f>
        <v/>
      </c>
    </row>
    <row r="172">
      <c r="A172" s="6">
        <f>MIN('Ввод'!$B$9:$B$108)+(ROW()-4)*$B$2</f>
        <v/>
      </c>
      <c r="B172" s="6">
        <f>IF('Ввод'!$B$6=1,A172-'Регрессия'!$B$3,A172-'Взвешенная регрессия'!$B$128+'Взвешенная регрессия'!$B$121/'Взвешенная регрессия'!$B$120)</f>
        <v/>
      </c>
      <c r="C172" s="6">
        <f>IF('Ввод'!$B$6=1,'Регрессия'!$B$6*(1/'Ввод'!$B$4+1/'Регрессия'!$B$2+B172^2/'Регрессия'!$B$5)+'Регрессия'!$B$10+B172^2*'Регрессия'!$B$9+2*B172*'Регрессия'!$B$11,'Взвешенная регрессия'!$B$124*(1/'Ввод'!$B$4+1/COUNTIFS('Взвешенная регрессия'!$A$11:$A$110,"&gt;=0"))+B172^2*'Взвешенная регрессия'!$B$125+'Взвешенная регрессия'!$B$126+2*B172*'Взвешенная регрессия'!$B$127)/IF('Ввод'!$B$6=1,'Регрессия'!$B$7,'Взвешенная регрессия'!$B$120)^2</f>
        <v/>
      </c>
      <c r="D172" s="6">
        <f>IF(C172&lt;0,NA(),SQRT(C172))</f>
        <v/>
      </c>
      <c r="E172" s="6">
        <f>SQRT(D172^2+(A172*'Ввод'!$B$5)^2)</f>
        <v/>
      </c>
      <c r="F172" s="6">
        <f>2*E172</f>
        <v/>
      </c>
      <c r="G172" s="6">
        <f>IF(ABS(A172-'Неопределенность'!$B$1)&lt;=$B$2/2,"← x_pred","")</f>
        <v/>
      </c>
    </row>
    <row r="173">
      <c r="A173" s="6">
        <f>MIN('Ввод'!$B$9:$B$108)+(ROW()-4)*$B$2</f>
        <v/>
      </c>
      <c r="B173" s="6">
        <f>IF('Ввод'!$B$6=1,A173-'Регрессия'!$B$3,A173-'Взвешенная регрессия'!$B$128+'Взвешенная регрессия'!$B$121/'Взвешенная регрессия'!$B$120)</f>
        <v/>
      </c>
      <c r="C173" s="6">
        <f>IF('Ввод'!$B$6=1,'Регрессия'!$B$6*(1/'Ввод'!$B$4+1/'Регрессия'!$B$2+B173^2/'Регрессия'!$B$5)+'Регрессия'!$B$10+B173^2*'Регрессия'!$B$9+2*B173*'Регрессия'!$B$11,'Взвешенная регрессия'!$B$124*(1/'Ввод'!$B$4+1/COUNTIFS('Взвешенная регрессия'!$A$11:$A$110,"&gt;=0"))+B173^2*'Взвешенная регрессия'!$B$125+'Взвешенная регрессия'!$B$126+2*B173*'Взвешенная регрессия'!$B$127)/IF('Ввод'!$B$6=1,'Регрессия'!$B$7,'Взвешенная регрессия'!$B$120)^2</f>
        <v/>
      </c>
      <c r="D173" s="6">
        <f>IF(C173&lt;0,NA(),SQRT(C173))</f>
        <v/>
      </c>
      <c r="E173" s="6">
        <f>SQRT(D173^2+(A173*'Ввод'!$B$5)^2)</f>
        <v/>
      </c>
      <c r="F173" s="6">
        <f>2*E173</f>
        <v/>
      </c>
      <c r="G173" s="6">
        <f>IF(ABS(A173-'Неопределенность'!$B$1)&lt;=$B$2/2,"← x_pred","")</f>
        <v/>
      </c>
    </row>
    <row r="174">
      <c r="A174" s="6">
        <f>MIN('Ввод'!$B$9:$B$108)+(ROW()-4)*$B$2</f>
        <v/>
      </c>
      <c r="B174" s="6">
        <f>IF('Ввод'!$B$6=1,A174-'Регрессия'!$B$3,A174-'Взвешенная регрессия'!$B$128+'Взвешенная регрессия'!$B$121/'Взвешенная регрессия'!$B$120)</f>
        <v/>
      </c>
      <c r="C174" s="6">
        <f>IF('Ввод'!$B$6=1,'Регрессия'!$B$6*(1/'Ввод'!$B$4+1/'Регрессия'!$B$2+B174^2/'Регрессия'!$B$5)+'Регрессия'!$B$10+B174^2*'Регрессия'!$B$9+2*B174*'Регрессия'!$B$11,'Взвешенная регрессия'!$B$124*(1/'Ввод'!$B$4+1/COUNTIFS('Взвешенная регрессия'!$A$11:$A$110,"&gt;=0"))+B174^2*'Взвешенная регрессия'!$B$125+'Взвешенная регрессия'!$B$126+2*B174*'Взвешенная регрессия'!$B$127)/IF('Ввод'!$B$6=1,'Регрессия'!$B$7,'Взвешенная регрессия'!$B$120)^2</f>
        <v/>
      </c>
      <c r="D174" s="6">
        <f>IF(C174&lt;0,NA(),SQRT(C174))</f>
        <v/>
      </c>
      <c r="E174" s="6">
        <f>SQRT(D174^2+(A174*'Ввод'!$B$5)^2)</f>
        <v/>
      </c>
      <c r="F174" s="6">
        <f>2*E174</f>
        <v/>
      </c>
      <c r="G174" s="6">
        <f>IF(ABS(A174-'Неопределенность'!$B$1)&lt;=$B$2/2,"← x_pred","")</f>
        <v/>
      </c>
    </row>
    <row r="175">
      <c r="A175" s="6">
        <f>MIN('Ввод'!$B$9:$B$108)+(ROW()-4)*$B$2</f>
        <v/>
      </c>
      <c r="B175" s="6">
        <f>IF('Ввод'!$B$6=1,A175-'Регрессия'!$B$3,A175-'Взвешенная регрессия'!$B$128+'Взвешенная регрессия'!$B$121/'Взвешенная регрессия'!$B$120)</f>
        <v/>
      </c>
      <c r="C175" s="6">
        <f>IF('Ввод'!$B$6=1,'Регрессия'!$B$6*(1/'Ввод'!$B$4+1/'Регрессия'!$B$2+B175^2/'Регрессия'!$B$5)+'Регрессия'!$B$10+B175^2*'Регрессия'!$B$9+2*B175*'Регрессия'!$B$11,'Взвешенная регрессия'!$B$124*(1/'Ввод'!$B$4+1/COUNTIFS('Взвешенная регрессия'!$A$11:$A$110,"&gt;=0"))+B175^2*'Взвешенная регрессия'!$B$125+'Взвешенная регрессия'!$B$126+2*B175*'Взвешенная регрессия'!$B$127)/IF('Ввод'!$B$6=1,'Регрессия'!$B$7,'Взвешенная регрессия'!$B$120)^2</f>
        <v/>
      </c>
      <c r="D175" s="6">
        <f>IF(C175&lt;0,NA(),SQRT(C175))</f>
        <v/>
      </c>
      <c r="E175" s="6">
        <f>SQRT(D175^2+(A175*'Ввод'!$B$5)^2)</f>
        <v/>
      </c>
      <c r="F175" s="6">
        <f>2*E175</f>
        <v/>
      </c>
      <c r="G175" s="6">
        <f>IF(ABS(A175-'Неопределенность'!$B$1)&lt;=$B$2/2,"← x_pred","")</f>
        <v/>
      </c>
    </row>
    <row r="176">
      <c r="A176" s="6">
        <f>MIN('Ввод'!$B$9:$B$108)+(ROW()-4)*$B$2</f>
        <v/>
      </c>
      <c r="B176" s="6">
        <f>IF('Ввод'!$B$6=1,A176-'Регрессия'!$B$3,A176-'Взвешенная регрессия'!$B$128+'Взвешенная регрессия'!$B$121/'Взвешенная регрессия'!$B$120)</f>
        <v/>
      </c>
      <c r="C176" s="6">
        <f>IF('Ввод'!$B$6=1,'Регрессия'!$B$6*(1/'Ввод'!$B$4+1/'Регрессия'!$B$2+B176^2/'Регрессия'!$B$5)+'Регрессия'!$B$10+B176^2*'Регрессия'!$B$9+2*B176*'Регрессия'!$B$11,'Взвешенная регрессия'!$B$124*(1/'Ввод'!$B$4+1/COUNTIFS('Взвешенная регрессия'!$A$11:$A$110,"&gt;=0"))+B176^2*'Взвешенная регрессия'!$B$125+'Взвешенная регрессия'!$B$126+2*B176*'Взвешенная регрессия'!$B$127)/IF('Ввод'!$B$6=1,'Регрессия'!$B$7,'Взвешенная регрессия'!$B$120)^2</f>
        <v/>
      </c>
      <c r="D176" s="6">
        <f>IF(C176&lt;0,NA(),SQRT(C176))</f>
        <v/>
      </c>
      <c r="E176" s="6">
        <f>SQRT(D176^2+(A176*'Ввод'!$B$5)^2)</f>
        <v/>
      </c>
      <c r="F176" s="6">
        <f>2*E176</f>
        <v/>
      </c>
      <c r="G176" s="6">
        <f>IF(ABS(A176-'Неопределенность'!$B$1)&lt;=$B$2/2,"← x_pred","")</f>
        <v/>
      </c>
    </row>
    <row r="177">
      <c r="A177" s="6">
        <f>MIN('Ввод'!$B$9:$B$108)+(ROW()-4)*$B$2</f>
        <v/>
      </c>
      <c r="B177" s="6">
        <f>IF('Ввод'!$B$6=1,A177-'Регрессия'!$B$3,A177-'Взвешенная регрессия'!$B$128+'Взвешенная регрессия'!$B$121/'Взвешенная регрессия'!$B$120)</f>
        <v/>
      </c>
      <c r="C177" s="6">
        <f>IF('Ввод'!$B$6=1,'Регрессия'!$B$6*(1/'Ввод'!$B$4+1/'Регрессия'!$B$2+B177^2/'Регрессия'!$B$5)+'Регрессия'!$B$10+B177^2*'Регрессия'!$B$9+2*B177*'Регрессия'!$B$11,'Взвешенная регрессия'!$B$124*(1/'Ввод'!$B$4+1/COUNTIFS('Взвешенная регрессия'!$A$11:$A$110,"&gt;=0"))+B177^2*'Взвешенная регрессия'!$B$125+'Взвешенная регрессия'!$B$126+2*B177*'Взвешенная регрессия'!$B$127)/IF('Ввод'!$B$6=1,'Регрессия'!$B$7,'Взвешенная регрессия'!$B$120)^2</f>
        <v/>
      </c>
      <c r="D177" s="6">
        <f>IF(C177&lt;0,NA(),SQRT(C177))</f>
        <v/>
      </c>
      <c r="E177" s="6">
        <f>SQRT(D177^2+(A177*'Ввод'!$B$5)^2)</f>
        <v/>
      </c>
      <c r="F177" s="6">
        <f>2*E177</f>
        <v/>
      </c>
      <c r="G177" s="6">
        <f>IF(ABS(A177-'Неопределенность'!$B$1)&lt;=$B$2/2,"← x_pred","")</f>
        <v/>
      </c>
    </row>
    <row r="178">
      <c r="A178" s="6">
        <f>MIN('Ввод'!$B$9:$B$108)+(ROW()-4)*$B$2</f>
        <v/>
      </c>
      <c r="B178" s="6">
        <f>IF('Ввод'!$B$6=1,A178-'Регрессия'!$B$3,A178-'Взвешенная регрессия'!$B$128+'Взвешенная регрессия'!$B$121/'Взвешенная регрессия'!$B$120)</f>
        <v/>
      </c>
      <c r="C178" s="6">
        <f>IF('Ввод'!$B$6=1,'Регрессия'!$B$6*(1/'Ввод'!$B$4+1/'Регрессия'!$B$2+B178^2/'Регрессия'!$B$5)+'Регрессия'!$B$10+B178^2*'Регрессия'!$B$9+2*B178*'Регрессия'!$B$11,'Взвешенная регрессия'!$B$124*(1/'Ввод'!$B$4+1/COUNTIFS('Взвешенная регрессия'!$A$11:$A$110,"&gt;=0"))+B178^2*'Взвешенная регрессия'!$B$125+'Взвешенная регрессия'!$B$126+2*B178*'Взвешенная регрессия'!$B$127)/IF('Ввод'!$B$6=1,'Регрессия'!$B$7,'Взвешенная регрессия'!$B$120)^2</f>
        <v/>
      </c>
      <c r="D178" s="6">
        <f>IF(C178&lt;0,NA(),SQRT(C178))</f>
        <v/>
      </c>
      <c r="E178" s="6">
        <f>SQRT(D178^2+(A178*'Ввод'!$B$5)^2)</f>
        <v/>
      </c>
      <c r="F178" s="6">
        <f>2*E178</f>
        <v/>
      </c>
      <c r="G178" s="6">
        <f>IF(ABS(A178-'Неопределенность'!$B$1)&lt;=$B$2/2,"← x_pred","")</f>
        <v/>
      </c>
    </row>
    <row r="179">
      <c r="A179" s="6">
        <f>MIN('Ввод'!$B$9:$B$108)+(ROW()-4)*$B$2</f>
        <v/>
      </c>
      <c r="B179" s="6">
        <f>IF('Ввод'!$B$6=1,A179-'Регрессия'!$B$3,A179-'Взвешенная регрессия'!$B$128+'Взвешенная регрессия'!$B$121/'Взвешенная регрессия'!$B$120)</f>
        <v/>
      </c>
      <c r="C179" s="6">
        <f>IF('Ввод'!$B$6=1,'Регрессия'!$B$6*(1/'Ввод'!$B$4+1/'Регрессия'!$B$2+B179^2/'Регрессия'!$B$5)+'Регрессия'!$B$10+B179^2*'Регрессия'!$B$9+2*B179*'Регрессия'!$B$11,'Взвешенная регрессия'!$B$124*(1/'Ввод'!$B$4+1/COUNTIFS('Взвешенная регрессия'!$A$11:$A$110,"&gt;=0"))+B179^2*'Взвешенная регрессия'!$B$125+'Взвешенная регрессия'!$B$126+2*B179*'Взвешенная регрессия'!$B$127)/IF('Ввод'!$B$6=1,'Регрессия'!$B$7,'Взвешенная регрессия'!$B$120)^2</f>
        <v/>
      </c>
      <c r="D179" s="6">
        <f>IF(C179&lt;0,NA(),SQRT(C179))</f>
        <v/>
      </c>
      <c r="E179" s="6">
        <f>SQRT(D179^2+(A179*'Ввод'!$B$5)^2)</f>
        <v/>
      </c>
      <c r="F179" s="6">
        <f>2*E179</f>
        <v/>
      </c>
      <c r="G179" s="6">
        <f>IF(ABS(A179-'Неопределенность'!$B$1)&lt;=$B$2/2,"← x_pred","")</f>
        <v/>
      </c>
    </row>
    <row r="180">
      <c r="A180" s="6">
        <f>MIN('Ввод'!$B$9:$B$108)+(ROW()-4)*$B$2</f>
        <v/>
      </c>
      <c r="B180" s="6">
        <f>IF('Ввод'!$B$6=1,A180-'Регрессия'!$B$3,A180-'Взвешенная регрессия'!$B$128+'Взвешенная регрессия'!$B$121/'Взвешенная регрессия'!$B$120)</f>
        <v/>
      </c>
      <c r="C180" s="6">
        <f>IF('Ввод'!$B$6=1,'Регрессия'!$B$6*(1/'Ввод'!$B$4+1/'Регрессия'!$B$2+B180^2/'Регрессия'!$B$5)+'Регрессия'!$B$10+B180^2*'Регрессия'!$B$9+2*B180*'Регрессия'!$B$11,'Взвешенная регрессия'!$B$124*(1/'Ввод'!$B$4+1/COUNTIFS('Взвешенная регрессия'!$A$11:$A$110,"&gt;=0"))+B180^2*'Взвешенная регрессия'!$B$125+'Взвешенная регрессия'!$B$126+2*B180*'Взвешенная регрессия'!$B$127)/IF('Ввод'!$B$6=1,'Регрессия'!$B$7,'Взвешенная регрессия'!$B$120)^2</f>
        <v/>
      </c>
      <c r="D180" s="6">
        <f>IF(C180&lt;0,NA(),SQRT(C180))</f>
        <v/>
      </c>
      <c r="E180" s="6">
        <f>SQRT(D180^2+(A180*'Ввод'!$B$5)^2)</f>
        <v/>
      </c>
      <c r="F180" s="6">
        <f>2*E180</f>
        <v/>
      </c>
      <c r="G180" s="6">
        <f>IF(ABS(A180-'Неопределенность'!$B$1)&lt;=$B$2/2,"← x_pred","")</f>
        <v/>
      </c>
    </row>
    <row r="181">
      <c r="A181" s="6">
        <f>MIN('Ввод'!$B$9:$B$108)+(ROW()-4)*$B$2</f>
        <v/>
      </c>
      <c r="B181" s="6">
        <f>IF('Ввод'!$B$6=1,A181-'Регрессия'!$B$3,A181-'Взвешенная регрессия'!$B$128+'Взвешенная регрессия'!$B$121/'Взвешенная регрессия'!$B$120)</f>
        <v/>
      </c>
      <c r="C181" s="6">
        <f>IF('Ввод'!$B$6=1,'Регрессия'!$B$6*(1/'Ввод'!$B$4+1/'Регрессия'!$B$2+B181^2/'Регрессия'!$B$5)+'Регрессия'!$B$10+B181^2*'Регрессия'!$B$9+2*B181*'Регрессия'!$B$11,'Взвешенная регрессия'!$B$124*(1/'Ввод'!$B$4+1/COUNTIFS('Взвешенная регрессия'!$A$11:$A$110,"&gt;=0"))+B181^2*'Взвешенная регрессия'!$B$125+'Взвешенная регрессия'!$B$126+2*B181*'Взвешенная регрессия'!$B$127)/IF('Ввод'!$B$6=1,'Регрессия'!$B$7,'Взвешенная регрессия'!$B$120)^2</f>
        <v/>
      </c>
      <c r="D181" s="6">
        <f>IF(C181&lt;0,NA(),SQRT(C181))</f>
        <v/>
      </c>
      <c r="E181" s="6">
        <f>SQRT(D181^2+(A181*'Ввод'!$B$5)^2)</f>
        <v/>
      </c>
      <c r="F181" s="6">
        <f>2*E181</f>
        <v/>
      </c>
      <c r="G181" s="6">
        <f>IF(ABS(A181-'Неопределенность'!$B$1)&lt;=$B$2/2,"← x_pred","")</f>
        <v/>
      </c>
    </row>
    <row r="182">
      <c r="A182" s="6">
        <f>MIN('Ввод'!$B$9:$B$108)+(ROW()-4)*$B$2</f>
        <v/>
      </c>
      <c r="B182" s="6">
        <f>IF('Ввод'!$B$6=1,A182-'Регрессия'!$B$3,A182-'Взвешенная регрессия'!$B$128+'Взвешенная регрессия'!$B$121/'Взвешенная регрессия'!$B$120)</f>
        <v/>
      </c>
      <c r="C182" s="6">
        <f>IF('Ввод'!$B$6=1,'Регрессия'!$B$6*(1/'Ввод'!$B$4+1/'Регрессия'!$B$2+B182^2/'Регрессия'!$B$5)+'Регрессия'!$B$10+B182^2*'Регрессия'!$B$9+2*B182*'Регрессия'!$B$11,'Взвешенная регрессия'!$B$124*(1/'Ввод'!$B$4+1/COUNTIFS('Взвешенная регрессия'!$A$11:$A$110,"&gt;=0"))+B182^2*'Взвешенная регрессия'!$B$125+'Взвешенная регрессия'!$B$126+2*B182*'Взвешенная регрессия'!$B$127)/IF('Ввод'!$B$6=1,'Регрессия'!$B$7,'Взвешенная регрессия'!$B$120)^2</f>
        <v/>
      </c>
      <c r="D182" s="6">
        <f>IF(C182&lt;0,NA(),SQRT(C182))</f>
        <v/>
      </c>
      <c r="E182" s="6">
        <f>SQRT(D182^2+(A182*'Ввод'!$B$5)^2)</f>
        <v/>
      </c>
      <c r="F182" s="6">
        <f>2*E182</f>
        <v/>
      </c>
      <c r="G182" s="6">
        <f>IF(ABS(A182-'Неопределенность'!$B$1)&lt;=$B$2/2,"← x_pred","")</f>
        <v/>
      </c>
    </row>
    <row r="183">
      <c r="A183" s="6">
        <f>MIN('Ввод'!$B$9:$B$108)+(ROW()-4)*$B$2</f>
        <v/>
      </c>
      <c r="B183" s="6">
        <f>IF('Ввод'!$B$6=1,A183-'Регрессия'!$B$3,A183-'Взвешенная регрессия'!$B$128+'Взвешенная регрессия'!$B$121/'Взвешенная регрессия'!$B$120)</f>
        <v/>
      </c>
      <c r="C183" s="6">
        <f>IF('Ввод'!$B$6=1,'Регрессия'!$B$6*(1/'Ввод'!$B$4+1/'Регрессия'!$B$2+B183^2/'Регрессия'!$B$5)+'Регрессия'!$B$10+B183^2*'Регрессия'!$B$9+2*B183*'Регрессия'!$B$11,'Взвешенная регрессия'!$B$124*(1/'Ввод'!$B$4+1/COUNTIFS('Взвешенная регрессия'!$A$11:$A$110,"&gt;=0"))+B183^2*'Взвешенная регрессия'!$B$125+'Взвешенная регрессия'!$B$126+2*B183*'Взвешенная регрессия'!$B$127)/IF('Ввод'!$B$6=1,'Регрессия'!$B$7,'Взвешенная регрессия'!$B$120)^2</f>
        <v/>
      </c>
      <c r="D183" s="6">
        <f>IF(C183&lt;0,NA(),SQRT(C183))</f>
        <v/>
      </c>
      <c r="E183" s="6">
        <f>SQRT(D183^2+(A183*'Ввод'!$B$5)^2)</f>
        <v/>
      </c>
      <c r="F183" s="6">
        <f>2*E183</f>
        <v/>
      </c>
      <c r="G183" s="6">
        <f>IF(ABS(A183-'Неопределенность'!$B$1)&lt;=$B$2/2,"← x_pred","")</f>
        <v/>
      </c>
    </row>
    <row r="184">
      <c r="A184" s="6">
        <f>MIN('Ввод'!$B$9:$B$108)+(ROW()-4)*$B$2</f>
        <v/>
      </c>
      <c r="B184" s="6">
        <f>IF('Ввод'!$B$6=1,A184-'Регрессия'!$B$3,A184-'Взвешенная регрессия'!$B$128+'Взвешенная регрессия'!$B$121/'Взвешенная регрессия'!$B$120)</f>
        <v/>
      </c>
      <c r="C184" s="6">
        <f>IF('Ввод'!$B$6=1,'Регрессия'!$B$6*(1/'Ввод'!$B$4+1/'Регрессия'!$B$2+B184^2/'Регрессия'!$B$5)+'Регрессия'!$B$10+B184^2*'Регрессия'!$B$9+2*B184*'Регрессия'!$B$11,'Взвешенная регрессия'!$B$124*(1/'Ввод'!$B$4+1/COUNTIFS('Взвешенная регрессия'!$A$11:$A$110,"&gt;=0"))+B184^2*'Взвешенная регрессия'!$B$125+'Взвешенная регрессия'!$B$126+2*B184*'Взвешенная регрессия'!$B$127)/IF('Ввод'!$B$6=1,'Регрессия'!$B$7,'Взвешенная регрессия'!$B$120)^2</f>
        <v/>
      </c>
      <c r="D184" s="6">
        <f>IF(C184&lt;0,NA(),SQRT(C184))</f>
        <v/>
      </c>
      <c r="E184" s="6">
        <f>SQRT(D184^2+(A184*'Ввод'!$B$5)^2)</f>
        <v/>
      </c>
      <c r="F184" s="6">
        <f>2*E184</f>
        <v/>
      </c>
      <c r="G184" s="6">
        <f>IF(ABS(A184-'Неопределенность'!$B$1)&lt;=$B$2/2,"← x_pred","")</f>
        <v/>
      </c>
    </row>
    <row r="185">
      <c r="A185" s="6">
        <f>MIN('Ввод'!$B$9:$B$108)+(ROW()-4)*$B$2</f>
        <v/>
      </c>
      <c r="B185" s="6">
        <f>IF('Ввод'!$B$6=1,A185-'Регрессия'!$B$3,A185-'Взвешенная регрессия'!$B$128+'Взвешенная регрессия'!$B$121/'Взвешенная регрессия'!$B$120)</f>
        <v/>
      </c>
      <c r="C185" s="6">
        <f>IF('Ввод'!$B$6=1,'Регрессия'!$B$6*(1/'Ввод'!$B$4+1/'Регрессия'!$B$2+B185^2/'Регрессия'!$B$5)+'Регрессия'!$B$10+B185^2*'Регрессия'!$B$9+2*B185*'Регрессия'!$B$11,'Взвешенная регрессия'!$B$124*(1/'Ввод'!$B$4+1/COUNTIFS('Взвешенная регрессия'!$A$11:$A$110,"&gt;=0"))+B185^2*'Взвешенная регрессия'!$B$125+'Взвешенная регрессия'!$B$126+2*B185*'Взвешенная регрессия'!$B$127)/IF('Ввод'!$B$6=1,'Регрессия'!$B$7,'Взвешенная регрессия'!$B$120)^2</f>
        <v/>
      </c>
      <c r="D185" s="6">
        <f>IF(C185&lt;0,NA(),SQRT(C185))</f>
        <v/>
      </c>
      <c r="E185" s="6">
        <f>SQRT(D185^2+(A185*'Ввод'!$B$5)^2)</f>
        <v/>
      </c>
      <c r="F185" s="6">
        <f>2*E185</f>
        <v/>
      </c>
      <c r="G185" s="6">
        <f>IF(ABS(A185-'Неопределенность'!$B$1)&lt;=$B$2/2,"← x_pred","")</f>
        <v/>
      </c>
    </row>
    <row r="186">
      <c r="A186" s="6">
        <f>MIN('Ввод'!$B$9:$B$108)+(ROW()-4)*$B$2</f>
        <v/>
      </c>
      <c r="B186" s="6">
        <f>IF('Ввод'!$B$6=1,A186-'Регрессия'!$B$3,A186-'Взвешенная регрессия'!$B$128+'Взвешенная регрессия'!$B$121/'Взвешенная регрессия'!$B$120)</f>
        <v/>
      </c>
      <c r="C186" s="6">
        <f>IF('Ввод'!$B$6=1,'Регрессия'!$B$6*(1/'Ввод'!$B$4+1/'Регрессия'!$B$2+B186^2/'Регрессия'!$B$5)+'Регрессия'!$B$10+B186^2*'Регрессия'!$B$9+2*B186*'Регрессия'!$B$11,'Взвешенная регрессия'!$B$124*(1/'Ввод'!$B$4+1/COUNTIFS('Взвешенная регрессия'!$A$11:$A$110,"&gt;=0"))+B186^2*'Взвешенная регрессия'!$B$125+'Взвешенная регрессия'!$B$126+2*B186*'Взвешенная регрессия'!$B$127)/IF('Ввод'!$B$6=1,'Регрессия'!$B$7,'Взвешенная регрессия'!$B$120)^2</f>
        <v/>
      </c>
      <c r="D186" s="6">
        <f>IF(C186&lt;0,NA(),SQRT(C186))</f>
        <v/>
      </c>
      <c r="E186" s="6">
        <f>SQRT(D186^2+(A186*'Ввод'!$B$5)^2)</f>
        <v/>
      </c>
      <c r="F186" s="6">
        <f>2*E186</f>
        <v/>
      </c>
      <c r="G186" s="6">
        <f>IF(ABS(A186-'Неопределенность'!$B$1)&lt;=$B$2/2,"← x_pred","")</f>
        <v/>
      </c>
    </row>
    <row r="187">
      <c r="A187" s="6">
        <f>MIN('Ввод'!$B$9:$B$108)+(ROW()-4)*$B$2</f>
        <v/>
      </c>
      <c r="B187" s="6">
        <f>IF('Ввод'!$B$6=1,A187-'Регрессия'!$B$3,A187-'Взвешенная регрессия'!$B$128+'Взвешенная регрессия'!$B$121/'Взвешенная регрессия'!$B$120)</f>
        <v/>
      </c>
      <c r="C187" s="6">
        <f>IF('Ввод'!$B$6=1,'Регрессия'!$B$6*(1/'Ввод'!$B$4+1/'Регрессия'!$B$2+B187^2/'Регрессия'!$B$5)+'Регрессия'!$B$10+B187^2*'Регрессия'!$B$9+2*B187*'Регрессия'!$B$11,'Взвешенная регрессия'!$B$124*(1/'Ввод'!$B$4+1/COUNTIFS('Взвешенная регрессия'!$A$11:$A$110,"&gt;=0"))+B187^2*'Взвешенная регрессия'!$B$125+'Взвешенная регрессия'!$B$126+2*B187*'Взвешенная регрессия'!$B$127)/IF('Ввод'!$B$6=1,'Регрессия'!$B$7,'Взвешенная регрессия'!$B$120)^2</f>
        <v/>
      </c>
      <c r="D187" s="6">
        <f>IF(C187&lt;0,NA(),SQRT(C187))</f>
        <v/>
      </c>
      <c r="E187" s="6">
        <f>SQRT(D187^2+(A187*'Ввод'!$B$5)^2)</f>
        <v/>
      </c>
      <c r="F187" s="6">
        <f>2*E187</f>
        <v/>
      </c>
      <c r="G187" s="6">
        <f>IF(ABS(A187-'Неопределенность'!$B$1)&lt;=$B$2/2,"← x_pred","")</f>
        <v/>
      </c>
    </row>
    <row r="188">
      <c r="A188" s="6">
        <f>MIN('Ввод'!$B$9:$B$108)+(ROW()-4)*$B$2</f>
        <v/>
      </c>
      <c r="B188" s="6">
        <f>IF('Ввод'!$B$6=1,A188-'Регрессия'!$B$3,A188-'Взвешенная регрессия'!$B$128+'Взвешенная регрессия'!$B$121/'Взвешенная регрессия'!$B$120)</f>
        <v/>
      </c>
      <c r="C188" s="6">
        <f>IF('Ввод'!$B$6=1,'Регрессия'!$B$6*(1/'Ввод'!$B$4+1/'Регрессия'!$B$2+B188^2/'Регрессия'!$B$5)+'Регрессия'!$B$10+B188^2*'Регрессия'!$B$9+2*B188*'Регрессия'!$B$11,'Взвешенная регрессия'!$B$124*(1/'Ввод'!$B$4+1/COUNTIFS('Взвешенная регрессия'!$A$11:$A$110,"&gt;=0"))+B188^2*'Взвешенная регрессия'!$B$125+'Взвешенная регрессия'!$B$126+2*B188*'Взвешенная регрессия'!$B$127)/IF('Ввод'!$B$6=1,'Регрессия'!$B$7,'Взвешенная регрессия'!$B$120)^2</f>
        <v/>
      </c>
      <c r="D188" s="6">
        <f>IF(C188&lt;0,NA(),SQRT(C188))</f>
        <v/>
      </c>
      <c r="E188" s="6">
        <f>SQRT(D188^2+(A188*'Ввод'!$B$5)^2)</f>
        <v/>
      </c>
      <c r="F188" s="6">
        <f>2*E188</f>
        <v/>
      </c>
      <c r="G188" s="6">
        <f>IF(ABS(A188-'Неопределенность'!$B$1)&lt;=$B$2/2,"← x_pred","")</f>
        <v/>
      </c>
    </row>
    <row r="189">
      <c r="A189" s="6">
        <f>MIN('Ввод'!$B$9:$B$108)+(ROW()-4)*$B$2</f>
        <v/>
      </c>
      <c r="B189" s="6">
        <f>IF('Ввод'!$B$6=1,A189-'Регрессия'!$B$3,A189-'Взвешенная регрессия'!$B$128+'Взвешенная регрессия'!$B$121/'Взвешенная регрессия'!$B$120)</f>
        <v/>
      </c>
      <c r="C189" s="6">
        <f>IF('Ввод'!$B$6=1,'Регрессия'!$B$6*(1/'Ввод'!$B$4+1/'Регрессия'!$B$2+B189^2/'Регрессия'!$B$5)+'Регрессия'!$B$10+B189^2*'Регрессия'!$B$9+2*B189*'Регрессия'!$B$11,'Взвешенная регрессия'!$B$124*(1/'Ввод'!$B$4+1/COUNTIFS('Взвешенная регрессия'!$A$11:$A$110,"&gt;=0"))+B189^2*'Взвешенная регрессия'!$B$125+'Взвешенная регрессия'!$B$126+2*B189*'Взвешенная регрессия'!$B$127)/IF('Ввод'!$B$6=1,'Регрессия'!$B$7,'Взвешенная регрессия'!$B$120)^2</f>
        <v/>
      </c>
      <c r="D189" s="6">
        <f>IF(C189&lt;0,NA(),SQRT(C189))</f>
        <v/>
      </c>
      <c r="E189" s="6">
        <f>SQRT(D189^2+(A189*'Ввод'!$B$5)^2)</f>
        <v/>
      </c>
      <c r="F189" s="6">
        <f>2*E189</f>
        <v/>
      </c>
      <c r="G189" s="6">
        <f>IF(ABS(A189-'Неопределенность'!$B$1)&lt;=$B$2/2,"← x_pred","")</f>
        <v/>
      </c>
    </row>
    <row r="190">
      <c r="A190" s="6">
        <f>MIN('Ввод'!$B$9:$B$108)+(ROW()-4)*$B$2</f>
        <v/>
      </c>
      <c r="B190" s="6">
        <f>IF('Ввод'!$B$6=1,A190-'Регрессия'!$B$3,A190-'Взвешенная регрессия'!$B$128+'Взвешенная регрессия'!$B$121/'Взвешенная регрессия'!$B$120)</f>
        <v/>
      </c>
      <c r="C190" s="6">
        <f>IF('Ввод'!$B$6=1,'Регрессия'!$B$6*(1/'Ввод'!$B$4+1/'Регрессия'!$B$2+B190^2/'Регрессия'!$B$5)+'Регрессия'!$B$10+B190^2*'Регрессия'!$B$9+2*B190*'Регрессия'!$B$11,'Взвешенная регрессия'!$B$124*(1/'Ввод'!$B$4+1/COUNTIFS('Взвешенная регрессия'!$A$11:$A$110,"&gt;=0"))+B190^2*'Взвешенная регрессия'!$B$125+'Взвешенная регрессия'!$B$126+2*B190*'Взвешенная регрессия'!$B$127)/IF('Ввод'!$B$6=1,'Регрессия'!$B$7,'Взвешенная регрессия'!$B$120)^2</f>
        <v/>
      </c>
      <c r="D190" s="6">
        <f>IF(C190&lt;0,NA(),SQRT(C190))</f>
        <v/>
      </c>
      <c r="E190" s="6">
        <f>SQRT(D190^2+(A190*'Ввод'!$B$5)^2)</f>
        <v/>
      </c>
      <c r="F190" s="6">
        <f>2*E190</f>
        <v/>
      </c>
      <c r="G190" s="6">
        <f>IF(ABS(A190-'Неопределенность'!$B$1)&lt;=$B$2/2,"← x_pred","")</f>
        <v/>
      </c>
    </row>
    <row r="191">
      <c r="A191" s="6">
        <f>MIN('Ввод'!$B$9:$B$108)+(ROW()-4)*$B$2</f>
        <v/>
      </c>
      <c r="B191" s="6">
        <f>IF('Ввод'!$B$6=1,A191-'Регрессия'!$B$3,A191-'Взвешенная регрессия'!$B$128+'Взвешенная регрессия'!$B$121/'Взвешенная регрессия'!$B$120)</f>
        <v/>
      </c>
      <c r="C191" s="6">
        <f>IF('Ввод'!$B$6=1,'Регрессия'!$B$6*(1/'Ввод'!$B$4+1/'Регрессия'!$B$2+B191^2/'Регрессия'!$B$5)+'Регрессия'!$B$10+B191^2*'Регрессия'!$B$9+2*B191*'Регрессия'!$B$11,'Взвешенная регрессия'!$B$124*(1/'Ввод'!$B$4+1/COUNTIFS('Взвешенная регрессия'!$A$11:$A$110,"&gt;=0"))+B191^2*'Взвешенная регрессия'!$B$125+'Взвешенная регрессия'!$B$126+2*B191*'Взвешенная регрессия'!$B$127)/IF('Ввод'!$B$6=1,'Регрессия'!$B$7,'Взвешенная регрессия'!$B$120)^2</f>
        <v/>
      </c>
      <c r="D191" s="6">
        <f>IF(C191&lt;0,NA(),SQRT(C191))</f>
        <v/>
      </c>
      <c r="E191" s="6">
        <f>SQRT(D191^2+(A191*'Ввод'!$B$5)^2)</f>
        <v/>
      </c>
      <c r="F191" s="6">
        <f>2*E191</f>
        <v/>
      </c>
      <c r="G191" s="6">
        <f>IF(ABS(A191-'Неопределенность'!$B$1)&lt;=$B$2/2,"← x_pred","")</f>
        <v/>
      </c>
    </row>
    <row r="192">
      <c r="A192" s="6">
        <f>MIN('Ввод'!$B$9:$B$108)+(ROW()-4)*$B$2</f>
        <v/>
      </c>
      <c r="B192" s="6">
        <f>IF('Ввод'!$B$6=1,A192-'Регрессия'!$B$3,A192-'Взвешенная регрессия'!$B$128+'Взвешенная регрессия'!$B$121/'Взвешенная регрессия'!$B$120)</f>
        <v/>
      </c>
      <c r="C192" s="6">
        <f>IF('Ввод'!$B$6=1,'Регрессия'!$B$6*(1/'Ввод'!$B$4+1/'Регрессия'!$B$2+B192^2/'Регрессия'!$B$5)+'Регрессия'!$B$10+B192^2*'Регрессия'!$B$9+2*B192*'Регрессия'!$B$11,'Взвешенная регрессия'!$B$124*(1/'Ввод'!$B$4+1/COUNTIFS('Взвешенная регрессия'!$A$11:$A$110,"&gt;=0"))+B192^2*'Взвешенная регрессия'!$B$125+'Взвешенная регрессия'!$B$126+2*B192*'Взвешенная регрессия'!$B$127)/IF('Ввод'!$B$6=1,'Регрессия'!$B$7,'Взвешенная регрессия'!$B$120)^2</f>
        <v/>
      </c>
      <c r="D192" s="6">
        <f>IF(C192&lt;0,NA(),SQRT(C192))</f>
        <v/>
      </c>
      <c r="E192" s="6">
        <f>SQRT(D192^2+(A192*'Ввод'!$B$5)^2)</f>
        <v/>
      </c>
      <c r="F192" s="6">
        <f>2*E192</f>
        <v/>
      </c>
      <c r="G192" s="6">
        <f>IF(ABS(A192-'Неопределенность'!$B$1)&lt;=$B$2/2,"← x_pred","")</f>
        <v/>
      </c>
    </row>
    <row r="193">
      <c r="A193" s="6">
        <f>MIN('Ввод'!$B$9:$B$108)+(ROW()-4)*$B$2</f>
        <v/>
      </c>
      <c r="B193" s="6">
        <f>IF('Ввод'!$B$6=1,A193-'Регрессия'!$B$3,A193-'Взвешенная регрессия'!$B$128+'Взвешенная регрессия'!$B$121/'Взвешенная регрессия'!$B$120)</f>
        <v/>
      </c>
      <c r="C193" s="6">
        <f>IF('Ввод'!$B$6=1,'Регрессия'!$B$6*(1/'Ввод'!$B$4+1/'Регрессия'!$B$2+B193^2/'Регрессия'!$B$5)+'Регрессия'!$B$10+B193^2*'Регрессия'!$B$9+2*B193*'Регрессия'!$B$11,'Взвешенная регрессия'!$B$124*(1/'Ввод'!$B$4+1/COUNTIFS('Взвешенная регрессия'!$A$11:$A$110,"&gt;=0"))+B193^2*'Взвешенная регрессия'!$B$125+'Взвешенная регрессия'!$B$126+2*B193*'Взвешенная регрессия'!$B$127)/IF('Ввод'!$B$6=1,'Регрессия'!$B$7,'Взвешенная регрессия'!$B$120)^2</f>
        <v/>
      </c>
      <c r="D193" s="6">
        <f>IF(C193&lt;0,NA(),SQRT(C193))</f>
        <v/>
      </c>
      <c r="E193" s="6">
        <f>SQRT(D193^2+(A193*'Ввод'!$B$5)^2)</f>
        <v/>
      </c>
      <c r="F193" s="6">
        <f>2*E193</f>
        <v/>
      </c>
      <c r="G193" s="6">
        <f>IF(ABS(A193-'Неопределенность'!$B$1)&lt;=$B$2/2,"← x_pred","")</f>
        <v/>
      </c>
    </row>
    <row r="194">
      <c r="A194" s="6">
        <f>MIN('Ввод'!$B$9:$B$108)+(ROW()-4)*$B$2</f>
        <v/>
      </c>
      <c r="B194" s="6">
        <f>IF('Ввод'!$B$6=1,A194-'Регрессия'!$B$3,A194-'Взвешенная регрессия'!$B$128+'Взвешенная регрессия'!$B$121/'Взвешенная регрессия'!$B$120)</f>
        <v/>
      </c>
      <c r="C194" s="6">
        <f>IF('Ввод'!$B$6=1,'Регрессия'!$B$6*(1/'Ввод'!$B$4+1/'Регрессия'!$B$2+B194^2/'Регрессия'!$B$5)+'Регрессия'!$B$10+B194^2*'Регрессия'!$B$9+2*B194*'Регрессия'!$B$11,'Взвешенная регрессия'!$B$124*(1/'Ввод'!$B$4+1/COUNTIFS('Взвешенная регрессия'!$A$11:$A$110,"&gt;=0"))+B194^2*'Взвешенная регрессия'!$B$125+'Взвешенная регрессия'!$B$126+2*B194*'Взвешенная регрессия'!$B$127)/IF('Ввод'!$B$6=1,'Регрессия'!$B$7,'Взвешенная регрессия'!$B$120)^2</f>
        <v/>
      </c>
      <c r="D194" s="6">
        <f>IF(C194&lt;0,NA(),SQRT(C194))</f>
        <v/>
      </c>
      <c r="E194" s="6">
        <f>SQRT(D194^2+(A194*'Ввод'!$B$5)^2)</f>
        <v/>
      </c>
      <c r="F194" s="6">
        <f>2*E194</f>
        <v/>
      </c>
      <c r="G194" s="6">
        <f>IF(ABS(A194-'Неопределенность'!$B$1)&lt;=$B$2/2,"← x_pred","")</f>
        <v/>
      </c>
    </row>
    <row r="195">
      <c r="A195" s="6">
        <f>MIN('Ввод'!$B$9:$B$108)+(ROW()-4)*$B$2</f>
        <v/>
      </c>
      <c r="B195" s="6">
        <f>IF('Ввод'!$B$6=1,A195-'Регрессия'!$B$3,A195-'Взвешенная регрессия'!$B$128+'Взвешенная регрессия'!$B$121/'Взвешенная регрессия'!$B$120)</f>
        <v/>
      </c>
      <c r="C195" s="6">
        <f>IF('Ввод'!$B$6=1,'Регрессия'!$B$6*(1/'Ввод'!$B$4+1/'Регрессия'!$B$2+B195^2/'Регрессия'!$B$5)+'Регрессия'!$B$10+B195^2*'Регрессия'!$B$9+2*B195*'Регрессия'!$B$11,'Взвешенная регрессия'!$B$124*(1/'Ввод'!$B$4+1/COUNTIFS('Взвешенная регрессия'!$A$11:$A$110,"&gt;=0"))+B195^2*'Взвешенная регрессия'!$B$125+'Взвешенная регрессия'!$B$126+2*B195*'Взвешенная регрессия'!$B$127)/IF('Ввод'!$B$6=1,'Регрессия'!$B$7,'Взвешенная регрессия'!$B$120)^2</f>
        <v/>
      </c>
      <c r="D195" s="6">
        <f>IF(C195&lt;0,NA(),SQRT(C195))</f>
        <v/>
      </c>
      <c r="E195" s="6">
        <f>SQRT(D195^2+(A195*'Ввод'!$B$5)^2)</f>
        <v/>
      </c>
      <c r="F195" s="6">
        <f>2*E195</f>
        <v/>
      </c>
      <c r="G195" s="6">
        <f>IF(ABS(A195-'Неопределенность'!$B$1)&lt;=$B$2/2,"← x_pred","")</f>
        <v/>
      </c>
    </row>
    <row r="196">
      <c r="A196" s="6">
        <f>MIN('Ввод'!$B$9:$B$108)+(ROW()-4)*$B$2</f>
        <v/>
      </c>
      <c r="B196" s="6">
        <f>IF('Ввод'!$B$6=1,A196-'Регрессия'!$B$3,A196-'Взвешенная регрессия'!$B$128+'Взвешенная регрессия'!$B$121/'Взвешенная регрессия'!$B$120)</f>
        <v/>
      </c>
      <c r="C196" s="6">
        <f>IF('Ввод'!$B$6=1,'Регрессия'!$B$6*(1/'Ввод'!$B$4+1/'Регрессия'!$B$2+B196^2/'Регрессия'!$B$5)+'Регрессия'!$B$10+B196^2*'Регрессия'!$B$9+2*B196*'Регрессия'!$B$11,'Взвешенная регрессия'!$B$124*(1/'Ввод'!$B$4+1/COUNTIFS('Взвешенная регрессия'!$A$11:$A$110,"&gt;=0"))+B196^2*'Взвешенная регрессия'!$B$125+'Взвешенная регрессия'!$B$126+2*B196*'Взвешенная регрессия'!$B$127)/IF('Ввод'!$B$6=1,'Регрессия'!$B$7,'Взвешенная регрессия'!$B$120)^2</f>
        <v/>
      </c>
      <c r="D196" s="6">
        <f>IF(C196&lt;0,NA(),SQRT(C196))</f>
        <v/>
      </c>
      <c r="E196" s="6">
        <f>SQRT(D196^2+(A196*'Ввод'!$B$5)^2)</f>
        <v/>
      </c>
      <c r="F196" s="6">
        <f>2*E196</f>
        <v/>
      </c>
      <c r="G196" s="6">
        <f>IF(ABS(A196-'Неопределенность'!$B$1)&lt;=$B$2/2,"← x_pred","")</f>
        <v/>
      </c>
    </row>
    <row r="197">
      <c r="A197" s="6">
        <f>MIN('Ввод'!$B$9:$B$108)+(ROW()-4)*$B$2</f>
        <v/>
      </c>
      <c r="B197" s="6">
        <f>IF('Ввод'!$B$6=1,A197-'Регрессия'!$B$3,A197-'Взвешенная регрессия'!$B$128+'Взвешенная регрессия'!$B$121/'Взвешенная регрессия'!$B$120)</f>
        <v/>
      </c>
      <c r="C197" s="6">
        <f>IF('Ввод'!$B$6=1,'Регрессия'!$B$6*(1/'Ввод'!$B$4+1/'Регрессия'!$B$2+B197^2/'Регрессия'!$B$5)+'Регрессия'!$B$10+B197^2*'Регрессия'!$B$9+2*B197*'Регрессия'!$B$11,'Взвешенная регрессия'!$B$124*(1/'Ввод'!$B$4+1/COUNTIFS('Взвешенная регрессия'!$A$11:$A$110,"&gt;=0"))+B197^2*'Взвешенная регрессия'!$B$125+'Взвешенная регрессия'!$B$126+2*B197*'Взвешенная регрессия'!$B$127)/IF('Ввод'!$B$6=1,'Регрессия'!$B$7,'Взвешенная регрессия'!$B$120)^2</f>
        <v/>
      </c>
      <c r="D197" s="6">
        <f>IF(C197&lt;0,NA(),SQRT(C197))</f>
        <v/>
      </c>
      <c r="E197" s="6">
        <f>SQRT(D197^2+(A197*'Ввод'!$B$5)^2)</f>
        <v/>
      </c>
      <c r="F197" s="6">
        <f>2*E197</f>
        <v/>
      </c>
      <c r="G197" s="6">
        <f>IF(ABS(A197-'Неопределенность'!$B$1)&lt;=$B$2/2,"← x_pred","")</f>
        <v/>
      </c>
    </row>
    <row r="198">
      <c r="A198" s="6">
        <f>MIN('Ввод'!$B$9:$B$108)+(ROW()-4)*$B$2</f>
        <v/>
      </c>
      <c r="B198" s="6">
        <f>IF('Ввод'!$B$6=1,A198-'Регрессия'!$B$3,A198-'Взвешенная регрессия'!$B$128+'Взвешенная регрессия'!$B$121/'Взвешенная регрессия'!$B$120)</f>
        <v/>
      </c>
      <c r="C198" s="6">
        <f>IF('Ввод'!$B$6=1,'Регрессия'!$B$6*(1/'Ввод'!$B$4+1/'Регрессия'!$B$2+B198^2/'Регрессия'!$B$5)+'Регрессия'!$B$10+B198^2*'Регрессия'!$B$9+2*B198*'Регрессия'!$B$11,'Взвешенная регрессия'!$B$124*(1/'Ввод'!$B$4+1/COUNTIFS('Взвешенная регрессия'!$A$11:$A$110,"&gt;=0"))+B198^2*'Взвешенная регрессия'!$B$125+'Взвешенная регрессия'!$B$126+2*B198*'Взвешенная регрессия'!$B$127)/IF('Ввод'!$B$6=1,'Регрессия'!$B$7,'Взвешенная регрессия'!$B$120)^2</f>
        <v/>
      </c>
      <c r="D198" s="6">
        <f>IF(C198&lt;0,NA(),SQRT(C198))</f>
        <v/>
      </c>
      <c r="E198" s="6">
        <f>SQRT(D198^2+(A198*'Ввод'!$B$5)^2)</f>
        <v/>
      </c>
      <c r="F198" s="6">
        <f>2*E198</f>
        <v/>
      </c>
      <c r="G198" s="6">
        <f>IF(ABS(A198-'Неопределенность'!$B$1)&lt;=$B$2/2,"← x_pred","")</f>
        <v/>
      </c>
    </row>
    <row r="199">
      <c r="A199" s="6">
        <f>MIN('Ввод'!$B$9:$B$108)+(ROW()-4)*$B$2</f>
        <v/>
      </c>
      <c r="B199" s="6">
        <f>IF('Ввод'!$B$6=1,A199-'Регрессия'!$B$3,A199-'Взвешенная регрессия'!$B$128+'Взвешенная регрессия'!$B$121/'Взвешенная регрессия'!$B$120)</f>
        <v/>
      </c>
      <c r="C199" s="6">
        <f>IF('Ввод'!$B$6=1,'Регрессия'!$B$6*(1/'Ввод'!$B$4+1/'Регрессия'!$B$2+B199^2/'Регрессия'!$B$5)+'Регрессия'!$B$10+B199^2*'Регрессия'!$B$9+2*B199*'Регрессия'!$B$11,'Взвешенная регрессия'!$B$124*(1/'Ввод'!$B$4+1/COUNTIFS('Взвешенная регрессия'!$A$11:$A$110,"&gt;=0"))+B199^2*'Взвешенная регрессия'!$B$125+'Взвешенная регрессия'!$B$126+2*B199*'Взвешенная регрессия'!$B$127)/IF('Ввод'!$B$6=1,'Регрессия'!$B$7,'Взвешенная регрессия'!$B$120)^2</f>
        <v/>
      </c>
      <c r="D199" s="6">
        <f>IF(C199&lt;0,NA(),SQRT(C199))</f>
        <v/>
      </c>
      <c r="E199" s="6">
        <f>SQRT(D199^2+(A199*'Ввод'!$B$5)^2)</f>
        <v/>
      </c>
      <c r="F199" s="6">
        <f>2*E199</f>
        <v/>
      </c>
      <c r="G199" s="6">
        <f>IF(ABS(A199-'Неопределенность'!$B$1)&lt;=$B$2/2,"← x_pred","")</f>
        <v/>
      </c>
    </row>
    <row r="200">
      <c r="A200" s="6">
        <f>MIN('Ввод'!$B$9:$B$108)+(ROW()-4)*$B$2</f>
        <v/>
      </c>
      <c r="B200" s="6">
        <f>IF('Ввод'!$B$6=1,A200-'Регрессия'!$B$3,A200-'Взвешенная регрессия'!$B$128+'Взвешенная регрессия'!$B$121/'Взвешенная регрессия'!$B$120)</f>
        <v/>
      </c>
      <c r="C200" s="6">
        <f>IF('Ввод'!$B$6=1,'Регрессия'!$B$6*(1/'Ввод'!$B$4+1/'Регрессия'!$B$2+B200^2/'Регрессия'!$B$5)+'Регрессия'!$B$10+B200^2*'Регрессия'!$B$9+2*B200*'Регрессия'!$B$11,'Взвешенная регрессия'!$B$124*(1/'Ввод'!$B$4+1/COUNTIFS('Взвешенная регрессия'!$A$11:$A$110,"&gt;=0"))+B200^2*'Взвешенная регрессия'!$B$125+'Взвешенная регрессия'!$B$126+2*B200*'Взвешенная регрессия'!$B$127)/IF('Ввод'!$B$6=1,'Регрессия'!$B$7,'Взвешенная регрессия'!$B$120)^2</f>
        <v/>
      </c>
      <c r="D200" s="6">
        <f>IF(C200&lt;0,NA(),SQRT(C200))</f>
        <v/>
      </c>
      <c r="E200" s="6">
        <f>SQRT(D200^2+(A200*'Ввод'!$B$5)^2)</f>
        <v/>
      </c>
      <c r="F200" s="6">
        <f>2*E200</f>
        <v/>
      </c>
      <c r="G200" s="6">
        <f>IF(ABS(A200-'Неопределенность'!$B$1)&lt;=$B$2/2,"← x_pred","")</f>
        <v/>
      </c>
    </row>
    <row r="201">
      <c r="A201" s="6">
        <f>MIN('Ввод'!$B$9:$B$108)+(ROW()-4)*$B$2</f>
        <v/>
      </c>
      <c r="B201" s="6">
        <f>IF('Ввод'!$B$6=1,A201-'Регрессия'!$B$3,A201-'Взвешенная регрессия'!$B$128+'Взвешенная регрессия'!$B$121/'Взвешенная регрессия'!$B$120)</f>
        <v/>
      </c>
      <c r="C201" s="6">
        <f>IF('Ввод'!$B$6=1,'Регрессия'!$B$6*(1/'Ввод'!$B$4+1/'Регрессия'!$B$2+B201^2/'Регрессия'!$B$5)+'Регрессия'!$B$10+B201^2*'Регрессия'!$B$9+2*B201*'Регрессия'!$B$11,'Взвешенная регрессия'!$B$124*(1/'Ввод'!$B$4+1/COUNTIFS('Взвешенная регрессия'!$A$11:$A$110,"&gt;=0"))+B201^2*'Взвешенная регрессия'!$B$125+'Взвешенная регрессия'!$B$126+2*B201*'Взвешенная регрессия'!$B$127)/IF('Ввод'!$B$6=1,'Регрессия'!$B$7,'Взвешенная регрессия'!$B$120)^2</f>
        <v/>
      </c>
      <c r="D201" s="6">
        <f>IF(C201&lt;0,NA(),SQRT(C201))</f>
        <v/>
      </c>
      <c r="E201" s="6">
        <f>SQRT(D201^2+(A201*'Ввод'!$B$5)^2)</f>
        <v/>
      </c>
      <c r="F201" s="6">
        <f>2*E201</f>
        <v/>
      </c>
      <c r="G201" s="6">
        <f>IF(ABS(A201-'Неопределенность'!$B$1)&lt;=$B$2/2,"← x_pred","")</f>
        <v/>
      </c>
    </row>
    <row r="202">
      <c r="A202" s="6">
        <f>MIN('Ввод'!$B$9:$B$108)+(ROW()-4)*$B$2</f>
        <v/>
      </c>
      <c r="B202" s="6">
        <f>IF('Ввод'!$B$6=1,A202-'Регрессия'!$B$3,A202-'Взвешенная регрессия'!$B$128+'Взвешенная регрессия'!$B$121/'Взвешенная регрессия'!$B$120)</f>
        <v/>
      </c>
      <c r="C202" s="6">
        <f>IF('Ввод'!$B$6=1,'Регрессия'!$B$6*(1/'Ввод'!$B$4+1/'Регрессия'!$B$2+B202^2/'Регрессия'!$B$5)+'Регрессия'!$B$10+B202^2*'Регрессия'!$B$9+2*B202*'Регрессия'!$B$11,'Взвешенная регрессия'!$B$124*(1/'Ввод'!$B$4+1/COUNTIFS('Взвешенная регрессия'!$A$11:$A$110,"&gt;=0"))+B202^2*'Взвешенная регрессия'!$B$125+'Взвешенная регрессия'!$B$126+2*B202*'Взвешенная регрессия'!$B$127)/IF('Ввод'!$B$6=1,'Регрессия'!$B$7,'Взвешенная регрессия'!$B$120)^2</f>
        <v/>
      </c>
      <c r="D202" s="6">
        <f>IF(C202&lt;0,NA(),SQRT(C202))</f>
        <v/>
      </c>
      <c r="E202" s="6">
        <f>SQRT(D202^2+(A202*'Ввод'!$B$5)^2)</f>
        <v/>
      </c>
      <c r="F202" s="6">
        <f>2*E202</f>
        <v/>
      </c>
      <c r="G202" s="6">
        <f>IF(ABS(A202-'Неопределенность'!$B$1)&lt;=$B$2/2,"← x_pred","")</f>
        <v/>
      </c>
    </row>
    <row r="203">
      <c r="A203" s="6">
        <f>MIN('Ввод'!$B$9:$B$108)+(ROW()-4)*$B$2</f>
        <v/>
      </c>
      <c r="B203" s="6">
        <f>IF('Ввод'!$B$6=1,A203-'Регрессия'!$B$3,A203-'Взвешенная регрессия'!$B$128+'Взвешенная регрессия'!$B$121/'Взвешенная регрессия'!$B$120)</f>
        <v/>
      </c>
      <c r="C203" s="6">
        <f>IF('Ввод'!$B$6=1,'Регрессия'!$B$6*(1/'Ввод'!$B$4+1/'Регрессия'!$B$2+B203^2/'Регрессия'!$B$5)+'Регрессия'!$B$10+B203^2*'Регрессия'!$B$9+2*B203*'Регрессия'!$B$11,'Взвешенная регрессия'!$B$124*(1/'Ввод'!$B$4+1/COUNTIFS('Взвешенная регрессия'!$A$11:$A$110,"&gt;=0"))+B203^2*'Взвешенная регрессия'!$B$125+'Взвешенная регрессия'!$B$126+2*B203*'Взвешенная регрессия'!$B$127)/IF('Ввод'!$B$6=1,'Регрессия'!$B$7,'Взвешенная регрессия'!$B$120)^2</f>
        <v/>
      </c>
      <c r="D203" s="6">
        <f>IF(C203&lt;0,NA(),SQRT(C203))</f>
        <v/>
      </c>
      <c r="E203" s="6">
        <f>SQRT(D203^2+(A203*'Ввод'!$B$5)^2)</f>
        <v/>
      </c>
      <c r="F203" s="6">
        <f>2*E203</f>
        <v/>
      </c>
      <c r="G203" s="6">
        <f>IF(ABS(A203-'Неопределенность'!$B$1)&lt;=$B$2/2,"← x_pred","")</f>
        <v/>
      </c>
    </row>
  </sheetData>
  <conditionalFormatting sqref="F4:F203">
    <cfRule type="colorScale" priority="1">
      <colorScale>
        <cfvo type="min"/>
        <cfvo type="max"/>
        <color rgb="00C6EFCE"/>
        <color rgb="00FFC7CE"/>
      </colorScale>
    </cfRule>
  </conditionalFormatting>
  <conditionalFormatting sqref="G4:G203">
    <cfRule type="expression" priority="2" dxfId="0">
      <formula>$G4&lt;&gt;""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0" customWidth="1" min="3" max="3"/>
  </cols>
  <sheetData>
    <row r="1">
      <c r="A1" s="1" t="inlineStr">
        <is>
          <t>АВТОМАТИЧЕСКАЯ ДИАГНОСТИКА МОДЕЛИ</t>
        </is>
      </c>
      <c r="B1" s="2" t="n"/>
      <c r="C1" s="2" t="n"/>
    </row>
    <row r="2">
      <c r="A2" s="2" t="n"/>
      <c r="B2" s="2" t="n"/>
      <c r="C2" s="2" t="n"/>
    </row>
    <row r="3">
      <c r="A3" s="7" t="inlineStr">
        <is>
          <t>Достаточно степеней свободы (ОМНК)</t>
        </is>
      </c>
      <c r="B3" s="8">
        <f>'Регрессия'!B2&gt;2</f>
        <v/>
      </c>
      <c r="C3" s="7">
        <f>IF(B3,"PASS","FAIL")</f>
        <v/>
      </c>
    </row>
    <row r="4">
      <c r="A4" s="7" t="inlineStr">
        <is>
          <t>Sxx &gt; 0</t>
        </is>
      </c>
      <c r="B4" s="8">
        <f>'Регрессия'!B5&gt;0</f>
        <v/>
      </c>
      <c r="C4" s="7">
        <f>IF(B4,"PASS","FAIL")</f>
        <v/>
      </c>
    </row>
    <row r="5">
      <c r="A5" s="7" t="inlineStr">
        <is>
          <t>Наклон b1 ≠ 0 (ОМНК)</t>
        </is>
      </c>
      <c r="B5" s="8">
        <f>ABS('Регрессия'!B7)&gt;1E-12</f>
        <v/>
      </c>
      <c r="C5" s="7">
        <f>IF(B5,"PASS","FAIL")</f>
        <v/>
      </c>
    </row>
    <row r="6">
      <c r="A6" s="7" t="inlineStr">
        <is>
          <t>Нет экстраполяции</t>
        </is>
      </c>
      <c r="B6" s="8">
        <f>NOT('Неопределенность'!B13)</f>
        <v/>
      </c>
      <c r="C6" s="7">
        <f>IF(B6,"PASS","FAIL")</f>
        <v/>
      </c>
    </row>
    <row r="7">
      <c r="A7" s="7" t="inlineStr">
        <is>
          <t>Согласованность двух формул ОМНК</t>
        </is>
      </c>
      <c r="B7" s="8">
        <f>'Неопределенность'!B12&lt;1E-6</f>
        <v/>
      </c>
      <c r="C7" s="7">
        <f>IF(B7,"PASS","FAIL")</f>
        <v/>
      </c>
    </row>
    <row r="8">
      <c r="A8" s="7" t="inlineStr">
        <is>
          <t>R² ≥ 0.99 (диагностический порог)</t>
        </is>
      </c>
      <c r="B8" s="8">
        <f>'Регрессия'!B12&gt;=0.99</f>
        <v/>
      </c>
      <c r="C8" s="7">
        <f>IF(B8,"PASS","FAIL")</f>
        <v/>
      </c>
    </row>
    <row r="9">
      <c r="A9" s="7" t="inlineStr">
        <is>
          <t>Нулевой уровень x=0 задан (для весов 1/x обязателен)</t>
        </is>
      </c>
      <c r="B9" s="8">
        <f>COUNTIFS('Ввод'!B9:B108,0)&gt;0</f>
        <v/>
      </c>
      <c r="C9" s="7">
        <f>IF(B9,"PASS","FAIL")</f>
        <v/>
      </c>
    </row>
    <row r="10">
      <c r="A10" s="7" t="inlineStr">
        <is>
          <t>Все веса положительны (нет #N/A в столбце w)</t>
        </is>
      </c>
      <c r="B10" s="8">
        <f>IF('Ввод'!$B$6=1,TRUE,COUNT('Взвешенная регрессия'!C11:C110)=COUNT('Взвешенная регрессия'!A11:A110))</f>
        <v/>
      </c>
      <c r="C10" s="7">
        <f>IF(B10,"PASS","FAIL")</f>
        <v/>
      </c>
    </row>
    <row r="11">
      <c r="A11" s="7" t="inlineStr">
        <is>
          <t>SSE_WLS ≤ SSE_ОМНК (взвешенная сумма квадратов меньше невозвешенной)</t>
        </is>
      </c>
      <c r="B11" s="8">
        <f>IF('Ввод'!$B$6=1,TRUE,'Взвешенная регрессия'!B122&lt;=SUM('Ввод'!I9:I108)+1E-12)</f>
        <v/>
      </c>
      <c r="C11" s="7">
        <f>IF(B11,"PASS","FAIL")</f>
        <v/>
      </c>
    </row>
    <row r="12">
      <c r="A12" s="7" t="inlineStr">
        <is>
          <t>Δb1 (WLS vs ОМНК) &lt; 10% — умеренное влияние весов</t>
        </is>
      </c>
      <c r="B12" s="8">
        <f>IF('Ввод'!$B$6=1,TRUE,'Взвешенная регрессия'!B129&lt;0.1)</f>
        <v/>
      </c>
      <c r="C12" s="7">
        <f>IF(B12,"PASS","FAIL")</f>
        <v/>
      </c>
    </row>
    <row r="13">
      <c r="A13" s="7" t="inlineStr">
        <is>
          <t>a priori гетероскедастичность: s(y) растёт с x (кор. рангов &gt; 0.5)</t>
        </is>
      </c>
      <c r="B13" s="8">
        <f>IF(COUNT('Ввод'!J9:J108)&gt;=3,CORREL('Ввод'!B9:B108,'Ввод'!J9:J108)&gt;0.5,TRUE)</f>
        <v/>
      </c>
      <c r="C13" s="7">
        <f>IF(B13,"PASS","FAIL")</f>
        <v/>
      </c>
    </row>
    <row r="14">
      <c r="A14" s="2" t="n"/>
      <c r="B14" s="2" t="n"/>
      <c r="C14" s="2" t="n"/>
    </row>
    <row r="15">
      <c r="A15" s="9" t="inlineStr">
        <is>
          <t>Итог</t>
        </is>
      </c>
      <c r="B15" s="2">
        <f>IF(COUNTIF(C3:C13,"FAIL")=0,"МОДЕЛЬ ПРИГОДНА","ЕСТЬ ЗАМЕЧАНИЯ")</f>
        <v/>
      </c>
      <c r="C15" s="2" t="n"/>
    </row>
  </sheetData>
  <conditionalFormatting sqref="C3">
    <cfRule type="expression" priority="1" dxfId="1">
      <formula>C3="PASS"</formula>
    </cfRule>
    <cfRule type="expression" priority="2" dxfId="2">
      <formula>C3="FAIL"</formula>
    </cfRule>
  </conditionalFormatting>
  <conditionalFormatting sqref="C4">
    <cfRule type="expression" priority="3" dxfId="1">
      <formula>C4="PASS"</formula>
    </cfRule>
    <cfRule type="expression" priority="4" dxfId="2">
      <formula>C4="FAIL"</formula>
    </cfRule>
  </conditionalFormatting>
  <conditionalFormatting sqref="C5">
    <cfRule type="expression" priority="5" dxfId="1">
      <formula>C5="PASS"</formula>
    </cfRule>
    <cfRule type="expression" priority="6" dxfId="2">
      <formula>C5="FAIL"</formula>
    </cfRule>
  </conditionalFormatting>
  <conditionalFormatting sqref="C6">
    <cfRule type="expression" priority="7" dxfId="1">
      <formula>C6="PASS"</formula>
    </cfRule>
    <cfRule type="expression" priority="8" dxfId="2">
      <formula>C6="FAIL"</formula>
    </cfRule>
  </conditionalFormatting>
  <conditionalFormatting sqref="C7">
    <cfRule type="expression" priority="9" dxfId="1">
      <formula>C7="PASS"</formula>
    </cfRule>
    <cfRule type="expression" priority="10" dxfId="2">
      <formula>C7="FAIL"</formula>
    </cfRule>
  </conditionalFormatting>
  <conditionalFormatting sqref="C8">
    <cfRule type="expression" priority="11" dxfId="1">
      <formula>C8="PASS"</formula>
    </cfRule>
    <cfRule type="expression" priority="12" dxfId="2">
      <formula>C8="FAIL"</formula>
    </cfRule>
  </conditionalFormatting>
  <conditionalFormatting sqref="C9">
    <cfRule type="expression" priority="13" dxfId="1">
      <formula>C9="PASS"</formula>
    </cfRule>
    <cfRule type="expression" priority="14" dxfId="2">
      <formula>C9="FAIL"</formula>
    </cfRule>
  </conditionalFormatting>
  <conditionalFormatting sqref="C10">
    <cfRule type="expression" priority="15" dxfId="1">
      <formula>C10="PASS"</formula>
    </cfRule>
    <cfRule type="expression" priority="16" dxfId="2">
      <formula>C10="FAIL"</formula>
    </cfRule>
  </conditionalFormatting>
  <conditionalFormatting sqref="C11">
    <cfRule type="expression" priority="17" dxfId="1">
      <formula>C11="PASS"</formula>
    </cfRule>
    <cfRule type="expression" priority="18" dxfId="2">
      <formula>C11="FAIL"</formula>
    </cfRule>
  </conditionalFormatting>
  <conditionalFormatting sqref="C12">
    <cfRule type="expression" priority="19" dxfId="1">
      <formula>C12="PASS"</formula>
    </cfRule>
    <cfRule type="expression" priority="20" dxfId="2">
      <formula>C12="FAIL"</formula>
    </cfRule>
  </conditionalFormatting>
  <conditionalFormatting sqref="C13">
    <cfRule type="expression" priority="21" dxfId="1">
      <formula>C13="PASS"</formula>
    </cfRule>
    <cfRule type="expression" priority="22" dxfId="2">
      <formula>C13="FAIL"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2026-09-25T16:09:12Z</dcterms:created>
  <dcterms:modified xmlns:dcterms="http://purl.org/dc/terms/" xmlns:xsi="http://www.w3.org/2001/XMLSchema-instance" xsi:type="dcterms:W3CDTF">2026-09-25T16:09:13Z</dcterms:modified>
</cp:coreProperties>
</file>