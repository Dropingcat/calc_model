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2b11292c6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вод" sheetId="1" r:id="R0ff2c4f8118742af"/>
    <x:sheet xmlns:r="http://schemas.openxmlformats.org/officeDocument/2006/relationships" name="Регрессия" sheetId="2" r:id="Ra98050cd46754f91"/>
    <x:sheet xmlns:r="http://schemas.openxmlformats.org/officeDocument/2006/relationships" name="Неопределенность" sheetId="3" r:id="Rceaa6c4e6058422f"/>
    <x:sheet xmlns:r="http://schemas.openxmlformats.org/officeDocument/2006/relationships" name="Валидация" sheetId="4" r:id="R0b2d9ebe997f4f7e"/>
    <x:sheet xmlns:r="http://schemas.openxmlformats.org/officeDocument/2006/relationships" name="Итог" sheetId="5" r:id="Rf0e84628232c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.000000"/>
    <x:numFmt numFmtId="202" formatCode="0"/>
    <x:numFmt numFmtId="203" formatCode="0.000000E+00"/>
    <x:numFmt numFmtId="204" formatCode="0.00E+00"/>
  </x:numFmts>
  <x:fonts count="5">
    <x:font>
      <x:sz val="11"/>
      <x:name val="Carlito"/>
    </x:font>
    <x:font>
      <x:b/>
      <x:sz val="15"/>
      <x:color rgb="FF1F2937"/>
      <x:name val="Carlito"/>
    </x:font>
    <x:font>
      <x:b/>
      <x:sz val="12"/>
      <x:color rgb="FF1F2937"/>
      <x:name val="Carlito"/>
    </x:font>
    <x:font>
      <x:b/>
      <x:sz val="11"/>
      <x:color rgb="FFFFFFFF"/>
      <x:name val="Carlito"/>
    </x:font>
    <x:font>
      <x:b/>
      <x:sz val="11"/>
      <x:color rgb="FF4040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2EFDA"/>
      </x:patternFill>
    </x:fill>
    <x:fill>
      <x:patternFill patternType="solid">
        <x:fgColor rgb="FFEAF2F8"/>
      </x:patternFill>
    </x:fill>
    <x:fill>
      <x:patternFill patternType="solid">
        <x:fgColor rgb="FF4F81BD"/>
      </x:patternFill>
    </x:fill>
    <x:fill>
      <x:patternFill patternType="solid">
        <x:fgColor rgb="FFDDEBF7"/>
      </x:patternFill>
    </x:fill>
    <x:fill>
      <x:patternFill patternType="solid">
        <x:fgColor rgb="FFEDEDED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200" fontId="0" fillId="2" borderId="0" xfId="0" applyNumberFormat="1" applyFont="1" applyFill="1" applyBorder="1"/>
    <x:xf numFmtId="20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0" fillId="2" borderId="6" xfId="0" applyNumberFormat="1" applyFont="1" applyFill="1" applyBorder="1"/>
    <x:xf numFmtId="0" fontId="0" fillId="2" borderId="8" xfId="0" applyNumberFormat="1" applyFont="1" applyFill="1" applyBorder="1"/>
    <x:xf numFmtId="0" fontId="0" fillId="2" borderId="9" xfId="0" applyNumberFormat="1" applyFont="1" applyFill="1" applyBorder="1"/>
    <x:xf numFmtId="0" fontId="0" fillId="2" borderId="11" xfId="0" applyNumberFormat="1" applyFont="1" applyFill="1" applyBorder="1"/>
    <x:xf numFmtId="0" fontId="0" fillId="2" borderId="12" xfId="0" applyNumberFormat="1" applyFont="1" applyFill="1" applyBorder="1"/>
    <x:xf numFmtId="0" fontId="0" fillId="2" borderId="14" xfId="0" applyNumberFormat="1" applyFont="1" applyFill="1" applyBorder="1"/>
    <x:xf numFmtId="0" fontId="0" fillId="2" borderId="16" xfId="0" applyNumberFormat="1" applyFont="1" applyFill="1" applyBorder="1"/>
    <x:xf numFmtId="0" fontId="0" fillId="2" borderId="17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200" fontId="0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0" fillId="2" borderId="4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2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200" fontId="0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2" borderId="11" xfId="0" applyNumberFormat="1" applyFont="1" applyFill="1" applyBorder="1" applyAlignment="1">
      <x:alignment wrapText="1"/>
    </x:xf>
    <x:xf numFmtId="0" fontId="0" fillId="2" borderId="12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2" fontId="0" fillId="5" borderId="3" xfId="0" applyNumberFormat="1" applyFont="1" applyFill="1" applyBorder="1" applyAlignment="1">
      <x:alignment wrapText="1"/>
    </x:xf>
    <x:xf numFmtId="202" fontId="0" fillId="5" borderId="11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1" fontId="0" fillId="5" borderId="8" xfId="0" applyNumberFormat="1" applyFont="1" applyFill="1" applyBorder="1" applyAlignment="1">
      <x:alignment wrapText="1"/>
    </x:xf>
    <x:xf numFmtId="201" fontId="0" fillId="5" borderId="1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204" fontId="2" fillId="5" borderId="0" xfId="0" applyNumberFormat="1" applyFont="1" applyFill="1" applyBorder="1"/>
    <x:xf numFmtId="204" fontId="2" fillId="5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4" fontId="2" fillId="5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4" fontId="2" fillId="5" borderId="1" xfId="0" applyNumberFormat="1" applyFont="1" applyFill="1" applyBorder="1" applyAlignment="1">
      <x:alignment wrapText="1"/>
    </x:xf>
    <x:xf numFmtId="201" fontId="0" fillId="5" borderId="3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201" fontId="0" fillId="5" borderId="11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16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201" fontId="0" fillId="5" borderId="6" xfId="0" applyNumberFormat="1" applyFont="1" applyFill="1" applyBorder="1"/>
    <x:xf numFmtId="200" fontId="0" fillId="5" borderId="6" xfId="0" applyNumberFormat="1" applyFont="1" applyFill="1" applyBorder="1"/>
    <x:xf numFmtId="0" fontId="0" fillId="5" borderId="9" xfId="0" applyNumberFormat="1" applyFont="1" applyFill="1" applyBorder="1"/>
  </x:cellXfs>
  <x:cellStyles count="1">
    <x:cellStyle name="Normal" xfId="0"/>
  </x:cellStyles>
  <x:dxfs count="6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FFC7CE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bc21a3c8247c3" /><Relationship Type="http://schemas.openxmlformats.org/officeDocument/2006/relationships/theme" Target="/xl/theme/theme1.xml" Id="Rbbd6028279404b5c" /><Relationship Type="http://schemas.openxmlformats.org/officeDocument/2006/relationships/sharedStrings" Target="/xl/sharedStrings.xml" Id="Re8cf5087f66a45db" /><Relationship Type="http://schemas.openxmlformats.org/officeDocument/2006/relationships/worksheet" Target="/xl/worksheets/sheet1.xml" Id="R0ff2c4f8118742af" /><Relationship Type="http://schemas.openxmlformats.org/officeDocument/2006/relationships/worksheet" Target="/xl/worksheets/sheet2.xml" Id="Ra98050cd46754f91" /><Relationship Type="http://schemas.openxmlformats.org/officeDocument/2006/relationships/worksheet" Target="/xl/worksheets/sheet3.xml" Id="Rceaa6c4e6058422f" /><Relationship Type="http://schemas.openxmlformats.org/officeDocument/2006/relationships/worksheet" Target="/xl/worksheets/sheet4.xml" Id="R0b2d9ebe997f4f7e" /><Relationship Type="http://schemas.openxmlformats.org/officeDocument/2006/relationships/worksheet" Target="/xl/worksheets/sheet5.xml" Id="Rf0e84628232c47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55" t="str">
        <x:v>ПАРАМЕТРЫ ПРОБЫ И КАЛИБРОВОЧНЫЕ ДАННЫЕ</x:v>
      </x:c>
      <x:c r="B1" s="55"/>
      <x:c r="C1" s="55"/>
      <x:c r="D1" s="55"/>
      <x:c r="E1" s="55"/>
      <x:c r="F1" s="55"/>
      <x:c r="G1" s="55"/>
      <x:c r="H1" s="55"/>
      <x:c r="I1" s="55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</x:row>
    <x:row r="3">
      <x:c r="A3" s="56" t="str">
        <x:v>Средний отклик пробы (y_obs)</x:v>
      </x:c>
      <x:c r="B3" s="57" t="n">
        <x:v>0.15</x:v>
      </x:c>
      <x:c r="C3" s="56"/>
      <x:c r="D3" s="56"/>
      <x:c r="E3" s="56"/>
      <x:c r="F3" s="56"/>
      <x:c r="G3" s="56"/>
      <x:c r="H3" s="56"/>
      <x:c r="I3" s="56"/>
    </x:row>
    <x:row r="4">
      <x:c r="A4" s="56" t="str">
        <x:v>Число повторностей пробы (p)</x:v>
      </x:c>
      <x:c r="B4" s="57" t="n">
        <x:v>2</x:v>
      </x:c>
      <x:c r="C4" s="56"/>
      <x:c r="D4" s="56"/>
      <x:c r="E4" s="56"/>
      <x:c r="F4" s="56"/>
      <x:c r="G4" s="56"/>
      <x:c r="H4" s="56"/>
      <x:c r="I4" s="56"/>
    </x:row>
    <x:row r="5">
      <x:c r="A5" s="56" t="str">
        <x:v>Относительная стандартная неопределённость эталонов u(x_cal)/x</x:v>
      </x:c>
      <x:c r="B5" s="58" t="n">
        <x:v>0.02</x:v>
      </x:c>
      <x:c r="C5" s="56"/>
      <x:c r="D5" s="56"/>
      <x:c r="E5" s="56"/>
      <x:c r="F5" s="56"/>
      <x:c r="G5" s="56"/>
      <x:c r="H5" s="56"/>
      <x:c r="I5" s="56"/>
    </x:row>
    <x:row r="6">
      <x:c r="A6" s="56"/>
      <x:c r="B6" s="56"/>
      <x:c r="C6" s="56"/>
      <x:c r="D6" s="56"/>
      <x:c r="E6" s="56"/>
      <x:c r="F6" s="56"/>
      <x:c r="G6" s="56"/>
      <x:c r="H6" s="56"/>
      <x:c r="I6" s="56"/>
    </x:row>
    <x:row r="7">
      <x:c r="A7" s="59" t="str">
        <x:v>КАЛИБРОВОЧНЫЕ ДАННЫЕ</x:v>
      </x:c>
      <x:c r="B7" s="59"/>
      <x:c r="C7" s="59"/>
      <x:c r="D7" s="59"/>
      <x:c r="E7" s="59"/>
      <x:c r="F7" s="59"/>
      <x:c r="G7" s="59"/>
      <x:c r="H7" s="59"/>
      <x:c r="I7" s="59"/>
    </x:row>
    <x:row r="8">
      <x:c r="A8" s="18" t="str">
        <x:v>№</x:v>
      </x:c>
      <x:c r="B8" s="18" t="str">
        <x:v>Концентрация x</x:v>
      </x:c>
      <x:c r="C8" s="18" t="str">
        <x:v>Отклик 1 y</x:v>
      </x:c>
      <x:c r="D8" s="18" t="str">
        <x:v>Отклик 2 y</x:v>
      </x:c>
      <x:c r="E8" s="18" t="str">
        <x:v>Отклик 3 y</x:v>
      </x:c>
      <x:c r="F8" s="18" t="str">
        <x:v>Среднее y</x:v>
      </x:c>
      <x:c r="G8" s="18" t="str">
        <x:v>ŷ</x:v>
      </x:c>
      <x:c r="H8" s="18" t="str">
        <x:v>Остаток e</x:v>
      </x:c>
      <x:c r="I8" s="18" t="str">
        <x:v>e²</x:v>
      </x:c>
    </x:row>
    <x:row r="9">
      <x:c r="A9" s="60" t="n">
        <x:v>1</x:v>
      </x:c>
      <x:c r="B9" s="61" t="n">
        <x:v>0</x:v>
      </x:c>
      <x:c r="C9" s="61" t="n">
        <x:v>0.002</x:v>
      </x:c>
      <x:c r="D9" s="61" t="n">
        <x:v>0.001</x:v>
      </x:c>
      <x:c r="E9" s="62" t="n">
        <x:v>0.003</x:v>
      </x:c>
      <x:c r="F9" s="63" t="str">
        <x:f>IF(B9="","",AVERAGE(C9:E9))</x:f>
      </x:c>
      <x:c r="G9" s="63" t="str">
        <x:f>IF(B9="","",'Регрессия'!$B$9+'Регрессия'!$B$8*B9)</x:f>
      </x:c>
      <x:c r="H9" s="63" t="str">
        <x:f>IF(F9="","",F9-G9)</x:f>
      </x:c>
      <x:c r="I9" s="63" t="str">
        <x:f>IF(H9="","",H9^2)</x:f>
      </x:c>
    </x:row>
    <x:row r="10">
      <x:c r="A10" s="64" t="n">
        <x:v>2</x:v>
      </x:c>
      <x:c r="B10" s="57" t="n">
        <x:v>0.2</x:v>
      </x:c>
      <x:c r="C10" s="57" t="n">
        <x:v>0.055</x:v>
      </x:c>
      <x:c r="D10" s="57" t="n">
        <x:v>0.058</x:v>
      </x:c>
      <x:c r="E10" s="65" t="n">
        <x:v>0.054</x:v>
      </x:c>
      <x:c r="F10" s="63" t="n">
        <x:f>IF(B10="","",AVERAGE(C10:E10))</x:f>
        <x:v>0.05566666666666667</x:v>
      </x:c>
      <x:c r="G10" s="63" t="n">
        <x:f>IF(B10="","",'Регрессия'!$B$9+'Регрессия'!$B$8*B10)</x:f>
        <x:v>0.055400000000000005</x:v>
      </x:c>
      <x:c r="H10" s="63" t="n">
        <x:f>IF(F10="","",F10-G10)</x:f>
        <x:v>0.00026666666666666505</x:v>
      </x:c>
      <x:c r="I10" s="63" t="n">
        <x:f>IF(H10="","",H10^2)</x:f>
        <x:v>7.111111111111025e-8</x:v>
      </x:c>
    </x:row>
    <x:row r="11">
      <x:c r="A11" s="64" t="n">
        <x:v>3</x:v>
      </x:c>
      <x:c r="B11" s="57" t="n">
        <x:v>0.4</x:v>
      </x:c>
      <x:c r="C11" s="57" t="n">
        <x:v>0.11</x:v>
      </x:c>
      <x:c r="D11" s="57" t="n">
        <x:v>0.112</x:v>
      </x:c>
      <x:c r="E11" s="65" t="n">
        <x:v>0.108</x:v>
      </x:c>
      <x:c r="F11" s="63" t="n">
        <x:f>IF(B11="","",AVERAGE(C11:E11))</x:f>
        <x:v>0.11</x:v>
      </x:c>
      <x:c r="G11" s="63" t="n">
        <x:f>IF(B11="","",'Регрессия'!$B$9+'Регрессия'!$B$8*B11)</x:f>
        <x:v>0.11036666666666667</x:v>
      </x:c>
      <x:c r="H11" s="63" t="n">
        <x:f>IF(F11="","",F11-G11)</x:f>
        <x:v>-0.0003666666666666679</x:v>
      </x:c>
      <x:c r="I11" s="63" t="n">
        <x:f>IF(H11="","",H11^2)</x:f>
        <x:v>1.3444444444444537e-7</x:v>
      </x:c>
    </x:row>
    <x:row r="12">
      <x:c r="A12" s="64" t="n">
        <x:v>4</x:v>
      </x:c>
      <x:c r="B12" s="57" t="n">
        <x:v>0.6</x:v>
      </x:c>
      <x:c r="C12" s="57" t="n">
        <x:v>0.165</x:v>
      </x:c>
      <x:c r="D12" s="57" t="n">
        <x:v>0.162</x:v>
      </x:c>
      <x:c r="E12" s="65" t="n">
        <x:v>0.168</x:v>
      </x:c>
      <x:c r="F12" s="63" t="n">
        <x:f>IF(B12="","",AVERAGE(C12:E12))</x:f>
        <x:v>0.165</x:v>
      </x:c>
      <x:c r="G12" s="63" t="n">
        <x:f>IF(B12="","",'Регрессия'!$B$9+'Регрессия'!$B$8*B12)</x:f>
        <x:v>0.16533333333333333</x:v>
      </x:c>
      <x:c r="H12" s="63" t="n">
        <x:f>IF(F12="","",F12-G12)</x:f>
        <x:v>-0.0003333333333333244</x:v>
      </x:c>
      <x:c r="I12" s="63" t="n">
        <x:f>IF(H12="","",H12^2)</x:f>
        <x:v>1.1111111111110514e-7</x:v>
      </x:c>
    </x:row>
    <x:row r="13">
      <x:c r="A13" s="64" t="n">
        <x:v>5</x:v>
      </x:c>
      <x:c r="B13" s="57" t="n">
        <x:v>0.8</x:v>
      </x:c>
      <x:c r="C13" s="57" t="n">
        <x:v>0.22</x:v>
      </x:c>
      <x:c r="D13" s="57" t="n">
        <x:v>0.225</x:v>
      </x:c>
      <x:c r="E13" s="65" t="n">
        <x:v>0.218</x:v>
      </x:c>
      <x:c r="F13" s="63" t="n">
        <x:f>IF(B13="","",AVERAGE(C13:E13))</x:f>
        <x:v>0.221</x:v>
      </x:c>
      <x:c r="G13" s="63" t="n">
        <x:f>IF(B13="","",'Регрессия'!$B$9+'Регрессия'!$B$8*B13)</x:f>
        <x:v>0.2203</x:v>
      </x:c>
      <x:c r="H13" s="63" t="n">
        <x:f>IF(F13="","",F13-G13)</x:f>
        <x:v>0.0007000000000000062</x:v>
      </x:c>
      <x:c r="I13" s="63" t="n">
        <x:f>IF(H13="","",H13^2)</x:f>
        <x:v>4.900000000000086e-7</x:v>
      </x:c>
    </x:row>
    <x:row r="14">
      <x:c r="A14" s="64" t="n">
        <x:v>6</x:v>
      </x:c>
      <x:c r="B14" s="57" t="n">
        <x:v>1</x:v>
      </x:c>
      <x:c r="C14" s="57" t="n">
        <x:v>0.275</x:v>
      </x:c>
      <x:c r="D14" s="57" t="n">
        <x:v>0.272</x:v>
      </x:c>
      <x:c r="E14" s="65" t="n">
        <x:v>0.278</x:v>
      </x:c>
      <x:c r="F14" s="63" t="n">
        <x:f>IF(B14="","",AVERAGE(C14:E14))</x:f>
        <x:v>0.275</x:v>
      </x:c>
      <x:c r="G14" s="63" t="n">
        <x:f>IF(B14="","",'Регрессия'!$B$9+'Регрессия'!$B$8*B14)</x:f>
        <x:v>0.27526666666666666</x:v>
      </x:c>
      <x:c r="H14" s="63" t="n">
        <x:f>IF(F14="","",F14-G14)</x:f>
        <x:v>-0.0002666666666666373</x:v>
      </x:c>
      <x:c r="I14" s="63" t="n">
        <x:f>IF(H14="","",H14^2)</x:f>
        <x:v>7.111111111109545e-8</x:v>
      </x:c>
    </x:row>
    <x:row r="15">
      <x:c r="A15" s="64"/>
      <x:c r="B15" s="57"/>
      <x:c r="C15" s="57"/>
      <x:c r="D15" s="57"/>
      <x:c r="E15" s="65"/>
      <x:c r="F15" s="63" t="str">
        <x:f>IF(B15="","",AVERAGE(C15:E15))</x:f>
      </x:c>
      <x:c r="G15" s="63" t="str">
        <x:f>IF(B15="","",'Регрессия'!$B$9+'Регрессия'!$B$8*B15)</x:f>
      </x:c>
      <x:c r="H15" s="63" t="str">
        <x:f>IF(F15="","",F15-G15)</x:f>
      </x:c>
      <x:c r="I15" s="63" t="str">
        <x:f>IF(H15="","",H15^2)</x:f>
      </x:c>
    </x:row>
    <x:row r="16">
      <x:c r="A16" s="64"/>
      <x:c r="B16" s="57"/>
      <x:c r="C16" s="57"/>
      <x:c r="D16" s="57"/>
      <x:c r="E16" s="65"/>
      <x:c r="F16" s="63" t="str">
        <x:f>IF(B16="","",AVERAGE(C16:E16))</x:f>
      </x:c>
      <x:c r="G16" s="63" t="str">
        <x:f>IF(B16="","",'Регрессия'!$B$9+'Регрессия'!$B$8*B16)</x:f>
      </x:c>
      <x:c r="H16" s="63" t="str">
        <x:f>IF(F16="","",F16-G16)</x:f>
      </x:c>
      <x:c r="I16" s="63" t="str">
        <x:f>IF(H16="","",H16^2)</x:f>
      </x:c>
    </x:row>
    <x:row r="17">
      <x:c r="A17" s="64"/>
      <x:c r="B17" s="57"/>
      <x:c r="C17" s="57"/>
      <x:c r="D17" s="57"/>
      <x:c r="E17" s="65"/>
      <x:c r="F17" s="63" t="str">
        <x:f>IF(B17="","",AVERAGE(C17:E17))</x:f>
      </x:c>
      <x:c r="G17" s="63" t="str">
        <x:f>IF(B17="","",'Регрессия'!$B$9+'Регрессия'!$B$8*B17)</x:f>
      </x:c>
      <x:c r="H17" s="63" t="str">
        <x:f>IF(F17="","",F17-G17)</x:f>
      </x:c>
      <x:c r="I17" s="63" t="str">
        <x:f>IF(H17="","",H17^2)</x:f>
      </x:c>
    </x:row>
    <x:row r="18">
      <x:c r="A18" s="64"/>
      <x:c r="B18" s="57"/>
      <x:c r="C18" s="57"/>
      <x:c r="D18" s="57"/>
      <x:c r="E18" s="65"/>
      <x:c r="F18" s="63" t="str">
        <x:f>IF(B18="","",AVERAGE(C18:E18))</x:f>
      </x:c>
      <x:c r="G18" s="63" t="str">
        <x:f>IF(B18="","",'Регрессия'!$B$9+'Регрессия'!$B$8*B18)</x:f>
      </x:c>
      <x:c r="H18" s="63" t="str">
        <x:f>IF(F18="","",F18-G18)</x:f>
      </x:c>
      <x:c r="I18" s="63" t="str">
        <x:f>IF(H18="","",H18^2)</x:f>
      </x:c>
    </x:row>
    <x:row r="19">
      <x:c r="A19" s="64"/>
      <x:c r="B19" s="57"/>
      <x:c r="C19" s="57"/>
      <x:c r="D19" s="57"/>
      <x:c r="E19" s="65"/>
      <x:c r="F19" s="63" t="str">
        <x:f>IF(B19="","",AVERAGE(C19:E19))</x:f>
      </x:c>
      <x:c r="G19" s="63" t="str">
        <x:f>IF(B19="","",'Регрессия'!$B$9+'Регрессия'!$B$8*B19)</x:f>
      </x:c>
      <x:c r="H19" s="63" t="str">
        <x:f>IF(F19="","",F19-G19)</x:f>
      </x:c>
      <x:c r="I19" s="63" t="str">
        <x:f>IF(H19="","",H19^2)</x:f>
      </x:c>
    </x:row>
    <x:row r="20">
      <x:c r="A20" s="64"/>
      <x:c r="B20" s="57"/>
      <x:c r="C20" s="57"/>
      <x:c r="D20" s="57"/>
      <x:c r="E20" s="65"/>
      <x:c r="F20" s="63" t="str">
        <x:f>IF(B20="","",AVERAGE(C20:E20))</x:f>
      </x:c>
      <x:c r="G20" s="63" t="str">
        <x:f>IF(B20="","",'Регрессия'!$B$9+'Регрессия'!$B$8*B20)</x:f>
      </x:c>
      <x:c r="H20" s="63" t="str">
        <x:f>IF(F20="","",F20-G20)</x:f>
      </x:c>
      <x:c r="I20" s="63" t="str">
        <x:f>IF(H20="","",H20^2)</x:f>
      </x:c>
    </x:row>
    <x:row r="21">
      <x:c r="A21" s="64"/>
      <x:c r="B21" s="57"/>
      <x:c r="C21" s="57"/>
      <x:c r="D21" s="57"/>
      <x:c r="E21" s="65"/>
      <x:c r="F21" s="63" t="str">
        <x:f>IF(B21="","",AVERAGE(C21:E21))</x:f>
      </x:c>
      <x:c r="G21" s="63" t="str">
        <x:f>IF(B21="","",'Регрессия'!$B$9+'Регрессия'!$B$8*B21)</x:f>
      </x:c>
      <x:c r="H21" s="63" t="str">
        <x:f>IF(F21="","",F21-G21)</x:f>
      </x:c>
      <x:c r="I21" s="63" t="str">
        <x:f>IF(H21="","",H21^2)</x:f>
      </x:c>
    </x:row>
    <x:row r="22">
      <x:c r="A22" s="64"/>
      <x:c r="B22" s="57"/>
      <x:c r="C22" s="57"/>
      <x:c r="D22" s="57"/>
      <x:c r="E22" s="65"/>
      <x:c r="F22" s="63" t="str">
        <x:f>IF(B22="","",AVERAGE(C22:E22))</x:f>
      </x:c>
      <x:c r="G22" s="63" t="str">
        <x:f>IF(B22="","",'Регрессия'!$B$9+'Регрессия'!$B$8*B22)</x:f>
      </x:c>
      <x:c r="H22" s="63" t="str">
        <x:f>IF(F22="","",F22-G22)</x:f>
      </x:c>
      <x:c r="I22" s="63" t="str">
        <x:f>IF(H22="","",H22^2)</x:f>
      </x:c>
    </x:row>
    <x:row r="23">
      <x:c r="A23" s="64"/>
      <x:c r="B23" s="57"/>
      <x:c r="C23" s="57"/>
      <x:c r="D23" s="57"/>
      <x:c r="E23" s="65"/>
      <x:c r="F23" s="63" t="str">
        <x:f>IF(B23="","",AVERAGE(C23:E23))</x:f>
      </x:c>
      <x:c r="G23" s="63" t="str">
        <x:f>IF(B23="","",'Регрессия'!$B$9+'Регрессия'!$B$8*B23)</x:f>
      </x:c>
      <x:c r="H23" s="63" t="str">
        <x:f>IF(F23="","",F23-G23)</x:f>
      </x:c>
      <x:c r="I23" s="63" t="str">
        <x:f>IF(H23="","",H23^2)</x:f>
      </x:c>
    </x:row>
    <x:row r="24">
      <x:c r="A24" s="64"/>
      <x:c r="B24" s="57"/>
      <x:c r="C24" s="57"/>
      <x:c r="D24" s="57"/>
      <x:c r="E24" s="65"/>
      <x:c r="F24" s="63" t="str">
        <x:f>IF(B24="","",AVERAGE(C24:E24))</x:f>
      </x:c>
      <x:c r="G24" s="63" t="str">
        <x:f>IF(B24="","",'Регрессия'!$B$9+'Регрессия'!$B$8*B24)</x:f>
      </x:c>
      <x:c r="H24" s="63" t="str">
        <x:f>IF(F24="","",F24-G24)</x:f>
      </x:c>
      <x:c r="I24" s="63" t="str">
        <x:f>IF(H24="","",H24^2)</x:f>
      </x:c>
    </x:row>
    <x:row r="25">
      <x:c r="A25" s="64"/>
      <x:c r="B25" s="57"/>
      <x:c r="C25" s="57"/>
      <x:c r="D25" s="57"/>
      <x:c r="E25" s="65"/>
      <x:c r="F25" s="63" t="str">
        <x:f>IF(B25="","",AVERAGE(C25:E25))</x:f>
      </x:c>
      <x:c r="G25" s="63" t="str">
        <x:f>IF(B25="","",'Регрессия'!$B$9+'Регрессия'!$B$8*B25)</x:f>
      </x:c>
      <x:c r="H25" s="63" t="str">
        <x:f>IF(F25="","",F25-G25)</x:f>
      </x:c>
      <x:c r="I25" s="63" t="str">
        <x:f>IF(H25="","",H25^2)</x:f>
      </x:c>
    </x:row>
    <x:row r="26">
      <x:c r="A26" s="64"/>
      <x:c r="B26" s="57"/>
      <x:c r="C26" s="57"/>
      <x:c r="D26" s="57"/>
      <x:c r="E26" s="65"/>
      <x:c r="F26" s="63" t="str">
        <x:f>IF(B26="","",AVERAGE(C26:E26))</x:f>
      </x:c>
      <x:c r="G26" s="63" t="str">
        <x:f>IF(B26="","",'Регрессия'!$B$9+'Регрессия'!$B$8*B26)</x:f>
      </x:c>
      <x:c r="H26" s="63" t="str">
        <x:f>IF(F26="","",F26-G26)</x:f>
      </x:c>
      <x:c r="I26" s="63" t="str">
        <x:f>IF(H26="","",H26^2)</x:f>
      </x:c>
    </x:row>
    <x:row r="27">
      <x:c r="A27" s="64"/>
      <x:c r="B27" s="57"/>
      <x:c r="C27" s="57"/>
      <x:c r="D27" s="57"/>
      <x:c r="E27" s="65"/>
      <x:c r="F27" s="63" t="str">
        <x:f>IF(B27="","",AVERAGE(C27:E27))</x:f>
      </x:c>
      <x:c r="G27" s="63" t="str">
        <x:f>IF(B27="","",'Регрессия'!$B$9+'Регрессия'!$B$8*B27)</x:f>
      </x:c>
      <x:c r="H27" s="63" t="str">
        <x:f>IF(F27="","",F27-G27)</x:f>
      </x:c>
      <x:c r="I27" s="63" t="str">
        <x:f>IF(H27="","",H27^2)</x:f>
      </x:c>
    </x:row>
    <x:row r="28">
      <x:c r="A28" s="64"/>
      <x:c r="B28" s="57"/>
      <x:c r="C28" s="57"/>
      <x:c r="D28" s="57"/>
      <x:c r="E28" s="65"/>
      <x:c r="F28" s="63" t="str">
        <x:f>IF(B28="","",AVERAGE(C28:E28))</x:f>
      </x:c>
      <x:c r="G28" s="63" t="str">
        <x:f>IF(B28="","",'Регрессия'!$B$9+'Регрессия'!$B$8*B28)</x:f>
      </x:c>
      <x:c r="H28" s="63" t="str">
        <x:f>IF(F28="","",F28-G28)</x:f>
      </x:c>
      <x:c r="I28" s="63" t="str">
        <x:f>IF(H28="","",H28^2)</x:f>
      </x:c>
    </x:row>
    <x:row r="29">
      <x:c r="A29" s="64"/>
      <x:c r="B29" s="57"/>
      <x:c r="C29" s="57"/>
      <x:c r="D29" s="57"/>
      <x:c r="E29" s="65"/>
      <x:c r="F29" s="63" t="str">
        <x:f>IF(B29="","",AVERAGE(C29:E29))</x:f>
      </x:c>
      <x:c r="G29" s="63" t="str">
        <x:f>IF(B29="","",'Регрессия'!$B$9+'Регрессия'!$B$8*B29)</x:f>
      </x:c>
      <x:c r="H29" s="63" t="str">
        <x:f>IF(F29="","",F29-G29)</x:f>
      </x:c>
      <x:c r="I29" s="63" t="str">
        <x:f>IF(H29="","",H29^2)</x:f>
      </x:c>
    </x:row>
    <x:row r="30">
      <x:c r="A30" s="64"/>
      <x:c r="B30" s="57"/>
      <x:c r="C30" s="57"/>
      <x:c r="D30" s="57"/>
      <x:c r="E30" s="65"/>
      <x:c r="F30" s="63" t="str">
        <x:f>IF(B30="","",AVERAGE(C30:E30))</x:f>
      </x:c>
      <x:c r="G30" s="63" t="str">
        <x:f>IF(B30="","",'Регрессия'!$B$9+'Регрессия'!$B$8*B30)</x:f>
      </x:c>
      <x:c r="H30" s="63" t="str">
        <x:f>IF(F30="","",F30-G30)</x:f>
      </x:c>
      <x:c r="I30" s="63" t="str">
        <x:f>IF(H30="","",H30^2)</x:f>
      </x:c>
    </x:row>
    <x:row r="31">
      <x:c r="A31" s="64"/>
      <x:c r="B31" s="57"/>
      <x:c r="C31" s="57"/>
      <x:c r="D31" s="57"/>
      <x:c r="E31" s="65"/>
      <x:c r="F31" s="63" t="str">
        <x:f>IF(B31="","",AVERAGE(C31:E31))</x:f>
      </x:c>
      <x:c r="G31" s="63" t="str">
        <x:f>IF(B31="","",'Регрессия'!$B$9+'Регрессия'!$B$8*B31)</x:f>
      </x:c>
      <x:c r="H31" s="63" t="str">
        <x:f>IF(F31="","",F31-G31)</x:f>
      </x:c>
      <x:c r="I31" s="63" t="str">
        <x:f>IF(H31="","",H31^2)</x:f>
      </x:c>
    </x:row>
    <x:row r="32">
      <x:c r="A32" s="64"/>
      <x:c r="B32" s="57"/>
      <x:c r="C32" s="57"/>
      <x:c r="D32" s="57"/>
      <x:c r="E32" s="65"/>
      <x:c r="F32" s="63" t="str">
        <x:f>IF(B32="","",AVERAGE(C32:E32))</x:f>
      </x:c>
      <x:c r="G32" s="63" t="str">
        <x:f>IF(B32="","",'Регрессия'!$B$9+'Регрессия'!$B$8*B32)</x:f>
      </x:c>
      <x:c r="H32" s="63" t="str">
        <x:f>IF(F32="","",F32-G32)</x:f>
      </x:c>
      <x:c r="I32" s="63" t="str">
        <x:f>IF(H32="","",H32^2)</x:f>
      </x:c>
    </x:row>
    <x:row r="33">
      <x:c r="A33" s="64"/>
      <x:c r="B33" s="57"/>
      <x:c r="C33" s="57"/>
      <x:c r="D33" s="57"/>
      <x:c r="E33" s="65"/>
      <x:c r="F33" s="63" t="str">
        <x:f>IF(B33="","",AVERAGE(C33:E33))</x:f>
      </x:c>
      <x:c r="G33" s="63" t="str">
        <x:f>IF(B33="","",'Регрессия'!$B$9+'Регрессия'!$B$8*B33)</x:f>
      </x:c>
      <x:c r="H33" s="63" t="str">
        <x:f>IF(F33="","",F33-G33)</x:f>
      </x:c>
      <x:c r="I33" s="63" t="str">
        <x:f>IF(H33="","",H33^2)</x:f>
      </x:c>
    </x:row>
    <x:row r="34">
      <x:c r="A34" s="64"/>
      <x:c r="B34" s="57"/>
      <x:c r="C34" s="57"/>
      <x:c r="D34" s="57"/>
      <x:c r="E34" s="65"/>
      <x:c r="F34" s="63" t="str">
        <x:f>IF(B34="","",AVERAGE(C34:E34))</x:f>
      </x:c>
      <x:c r="G34" s="63" t="str">
        <x:f>IF(B34="","",'Регрессия'!$B$9+'Регрессия'!$B$8*B34)</x:f>
      </x:c>
      <x:c r="H34" s="63" t="str">
        <x:f>IF(F34="","",F34-G34)</x:f>
      </x:c>
      <x:c r="I34" s="63" t="str">
        <x:f>IF(H34="","",H34^2)</x:f>
      </x:c>
    </x:row>
    <x:row r="35">
      <x:c r="A35" s="64"/>
      <x:c r="B35" s="57"/>
      <x:c r="C35" s="57"/>
      <x:c r="D35" s="57"/>
      <x:c r="E35" s="65"/>
      <x:c r="F35" s="63" t="str">
        <x:f>IF(B35="","",AVERAGE(C35:E35))</x:f>
      </x:c>
      <x:c r="G35" s="63" t="str">
        <x:f>IF(B35="","",'Регрессия'!$B$9+'Регрессия'!$B$8*B35)</x:f>
      </x:c>
      <x:c r="H35" s="63" t="str">
        <x:f>IF(F35="","",F35-G35)</x:f>
      </x:c>
      <x:c r="I35" s="63" t="str">
        <x:f>IF(H35="","",H35^2)</x:f>
      </x:c>
    </x:row>
    <x:row r="36">
      <x:c r="A36" s="64"/>
      <x:c r="B36" s="57"/>
      <x:c r="C36" s="57"/>
      <x:c r="D36" s="57"/>
      <x:c r="E36" s="65"/>
      <x:c r="F36" s="63" t="str">
        <x:f>IF(B36="","",AVERAGE(C36:E36))</x:f>
      </x:c>
      <x:c r="G36" s="63" t="str">
        <x:f>IF(B36="","",'Регрессия'!$B$9+'Регрессия'!$B$8*B36)</x:f>
      </x:c>
      <x:c r="H36" s="63" t="str">
        <x:f>IF(F36="","",F36-G36)</x:f>
      </x:c>
      <x:c r="I36" s="63" t="str">
        <x:f>IF(H36="","",H36^2)</x:f>
      </x:c>
    </x:row>
    <x:row r="37">
      <x:c r="A37" s="64"/>
      <x:c r="B37" s="57"/>
      <x:c r="C37" s="57"/>
      <x:c r="D37" s="57"/>
      <x:c r="E37" s="65"/>
      <x:c r="F37" s="63" t="str">
        <x:f>IF(B37="","",AVERAGE(C37:E37))</x:f>
      </x:c>
      <x:c r="G37" s="63" t="str">
        <x:f>IF(B37="","",'Регрессия'!$B$9+'Регрессия'!$B$8*B37)</x:f>
      </x:c>
      <x:c r="H37" s="63" t="str">
        <x:f>IF(F37="","",F37-G37)</x:f>
      </x:c>
      <x:c r="I37" s="63" t="str">
        <x:f>IF(H37="","",H37^2)</x:f>
      </x:c>
    </x:row>
    <x:row r="38">
      <x:c r="A38" s="64"/>
      <x:c r="B38" s="57"/>
      <x:c r="C38" s="57"/>
      <x:c r="D38" s="57"/>
      <x:c r="E38" s="65"/>
      <x:c r="F38" s="63" t="str">
        <x:f>IF(B38="","",AVERAGE(C38:E38))</x:f>
      </x:c>
      <x:c r="G38" s="63" t="str">
        <x:f>IF(B38="","",'Регрессия'!$B$9+'Регрессия'!$B$8*B38)</x:f>
      </x:c>
      <x:c r="H38" s="63" t="str">
        <x:f>IF(F38="","",F38-G38)</x:f>
      </x:c>
      <x:c r="I38" s="63" t="str">
        <x:f>IF(H38="","",H38^2)</x:f>
      </x:c>
    </x:row>
    <x:row r="39">
      <x:c r="A39" s="64"/>
      <x:c r="B39" s="57"/>
      <x:c r="C39" s="57"/>
      <x:c r="D39" s="57"/>
      <x:c r="E39" s="65"/>
      <x:c r="F39" s="63" t="str">
        <x:f>IF(B39="","",AVERAGE(C39:E39))</x:f>
      </x:c>
      <x:c r="G39" s="63" t="str">
        <x:f>IF(B39="","",'Регрессия'!$B$9+'Регрессия'!$B$8*B39)</x:f>
      </x:c>
      <x:c r="H39" s="63" t="str">
        <x:f>IF(F39="","",F39-G39)</x:f>
      </x:c>
      <x:c r="I39" s="63" t="str">
        <x:f>IF(H39="","",H39^2)</x:f>
      </x:c>
    </x:row>
    <x:row r="40">
      <x:c r="A40" s="64"/>
      <x:c r="B40" s="57"/>
      <x:c r="C40" s="57"/>
      <x:c r="D40" s="57"/>
      <x:c r="E40" s="65"/>
      <x:c r="F40" s="63" t="str">
        <x:f>IF(B40="","",AVERAGE(C40:E40))</x:f>
      </x:c>
      <x:c r="G40" s="63" t="str">
        <x:f>IF(B40="","",'Регрессия'!$B$9+'Регрессия'!$B$8*B40)</x:f>
      </x:c>
      <x:c r="H40" s="63" t="str">
        <x:f>IF(F40="","",F40-G40)</x:f>
      </x:c>
      <x:c r="I40" s="63" t="str">
        <x:f>IF(H40="","",H40^2)</x:f>
      </x:c>
    </x:row>
    <x:row r="41">
      <x:c r="A41" s="64"/>
      <x:c r="B41" s="57"/>
      <x:c r="C41" s="57"/>
      <x:c r="D41" s="57"/>
      <x:c r="E41" s="65"/>
      <x:c r="F41" s="63" t="str">
        <x:f>IF(B41="","",AVERAGE(C41:E41))</x:f>
      </x:c>
      <x:c r="G41" s="63" t="str">
        <x:f>IF(B41="","",'Регрессия'!$B$9+'Регрессия'!$B$8*B41)</x:f>
      </x:c>
      <x:c r="H41" s="63" t="str">
        <x:f>IF(F41="","",F41-G41)</x:f>
      </x:c>
      <x:c r="I41" s="63" t="str">
        <x:f>IF(H41="","",H41^2)</x:f>
      </x:c>
    </x:row>
    <x:row r="42">
      <x:c r="A42" s="64"/>
      <x:c r="B42" s="57"/>
      <x:c r="C42" s="57"/>
      <x:c r="D42" s="57"/>
      <x:c r="E42" s="65"/>
      <x:c r="F42" s="63" t="str">
        <x:f>IF(B42="","",AVERAGE(C42:E42))</x:f>
      </x:c>
      <x:c r="G42" s="63" t="str">
        <x:f>IF(B42="","",'Регрессия'!$B$9+'Регрессия'!$B$8*B42)</x:f>
      </x:c>
      <x:c r="H42" s="63" t="str">
        <x:f>IF(F42="","",F42-G42)</x:f>
      </x:c>
      <x:c r="I42" s="63" t="str">
        <x:f>IF(H42="","",H42^2)</x:f>
      </x:c>
    </x:row>
    <x:row r="43">
      <x:c r="A43" s="64"/>
      <x:c r="B43" s="57"/>
      <x:c r="C43" s="57"/>
      <x:c r="D43" s="57"/>
      <x:c r="E43" s="65"/>
      <x:c r="F43" s="63" t="str">
        <x:f>IF(B43="","",AVERAGE(C43:E43))</x:f>
      </x:c>
      <x:c r="G43" s="63" t="str">
        <x:f>IF(B43="","",'Регрессия'!$B$9+'Регрессия'!$B$8*B43)</x:f>
      </x:c>
      <x:c r="H43" s="63" t="str">
        <x:f>IF(F43="","",F43-G43)</x:f>
      </x:c>
      <x:c r="I43" s="63" t="str">
        <x:f>IF(H43="","",H43^2)</x:f>
      </x:c>
    </x:row>
    <x:row r="44">
      <x:c r="A44" s="64"/>
      <x:c r="B44" s="57"/>
      <x:c r="C44" s="57"/>
      <x:c r="D44" s="57"/>
      <x:c r="E44" s="65"/>
      <x:c r="F44" s="63" t="str">
        <x:f>IF(B44="","",AVERAGE(C44:E44))</x:f>
      </x:c>
      <x:c r="G44" s="63" t="str">
        <x:f>IF(B44="","",'Регрессия'!$B$9+'Регрессия'!$B$8*B44)</x:f>
      </x:c>
      <x:c r="H44" s="63" t="str">
        <x:f>IF(F44="","",F44-G44)</x:f>
      </x:c>
      <x:c r="I44" s="63" t="str">
        <x:f>IF(H44="","",H44^2)</x:f>
      </x:c>
    </x:row>
    <x:row r="45">
      <x:c r="A45" s="64"/>
      <x:c r="B45" s="57"/>
      <x:c r="C45" s="57"/>
      <x:c r="D45" s="57"/>
      <x:c r="E45" s="65"/>
      <x:c r="F45" s="63" t="str">
        <x:f>IF(B45="","",AVERAGE(C45:E45))</x:f>
      </x:c>
      <x:c r="G45" s="63" t="str">
        <x:f>IF(B45="","",'Регрессия'!$B$9+'Регрессия'!$B$8*B45)</x:f>
      </x:c>
      <x:c r="H45" s="63" t="str">
        <x:f>IF(F45="","",F45-G45)</x:f>
      </x:c>
      <x:c r="I45" s="63" t="str">
        <x:f>IF(H45="","",H45^2)</x:f>
      </x:c>
    </x:row>
    <x:row r="46">
      <x:c r="A46" s="64"/>
      <x:c r="B46" s="57"/>
      <x:c r="C46" s="57"/>
      <x:c r="D46" s="57"/>
      <x:c r="E46" s="65"/>
      <x:c r="F46" s="63" t="str">
        <x:f>IF(B46="","",AVERAGE(C46:E46))</x:f>
      </x:c>
      <x:c r="G46" s="63" t="str">
        <x:f>IF(B46="","",'Регрессия'!$B$9+'Регрессия'!$B$8*B46)</x:f>
      </x:c>
      <x:c r="H46" s="63" t="str">
        <x:f>IF(F46="","",F46-G46)</x:f>
      </x:c>
      <x:c r="I46" s="63" t="str">
        <x:f>IF(H46="","",H46^2)</x:f>
      </x:c>
    </x:row>
    <x:row r="47">
      <x:c r="A47" s="64"/>
      <x:c r="B47" s="57"/>
      <x:c r="C47" s="57"/>
      <x:c r="D47" s="57"/>
      <x:c r="E47" s="65"/>
      <x:c r="F47" s="63" t="str">
        <x:f>IF(B47="","",AVERAGE(C47:E47))</x:f>
      </x:c>
      <x:c r="G47" s="63" t="str">
        <x:f>IF(B47="","",'Регрессия'!$B$9+'Регрессия'!$B$8*B47)</x:f>
      </x:c>
      <x:c r="H47" s="63" t="str">
        <x:f>IF(F47="","",F47-G47)</x:f>
      </x:c>
      <x:c r="I47" s="63" t="str">
        <x:f>IF(H47="","",H47^2)</x:f>
      </x:c>
    </x:row>
    <x:row r="48">
      <x:c r="A48" s="64"/>
      <x:c r="B48" s="57"/>
      <x:c r="C48" s="57"/>
      <x:c r="D48" s="57"/>
      <x:c r="E48" s="65"/>
      <x:c r="F48" s="63" t="str">
        <x:f>IF(B48="","",AVERAGE(C48:E48))</x:f>
      </x:c>
      <x:c r="G48" s="63" t="str">
        <x:f>IF(B48="","",'Регрессия'!$B$9+'Регрессия'!$B$8*B48)</x:f>
      </x:c>
      <x:c r="H48" s="63" t="str">
        <x:f>IF(F48="","",F48-G48)</x:f>
      </x:c>
      <x:c r="I48" s="63" t="str">
        <x:f>IF(H48="","",H48^2)</x:f>
      </x:c>
    </x:row>
    <x:row r="49">
      <x:c r="A49" s="64"/>
      <x:c r="B49" s="57"/>
      <x:c r="C49" s="57"/>
      <x:c r="D49" s="57"/>
      <x:c r="E49" s="65"/>
      <x:c r="F49" s="63" t="str">
        <x:f>IF(B49="","",AVERAGE(C49:E49))</x:f>
      </x:c>
      <x:c r="G49" s="63" t="str">
        <x:f>IF(B49="","",'Регрессия'!$B$9+'Регрессия'!$B$8*B49)</x:f>
      </x:c>
      <x:c r="H49" s="63" t="str">
        <x:f>IF(F49="","",F49-G49)</x:f>
      </x:c>
      <x:c r="I49" s="63" t="str">
        <x:f>IF(H49="","",H49^2)</x:f>
      </x:c>
    </x:row>
    <x:row r="50">
      <x:c r="A50" s="64"/>
      <x:c r="B50" s="57"/>
      <x:c r="C50" s="57"/>
      <x:c r="D50" s="57"/>
      <x:c r="E50" s="65"/>
      <x:c r="F50" s="63" t="str">
        <x:f>IF(B50="","",AVERAGE(C50:E50))</x:f>
      </x:c>
      <x:c r="G50" s="63" t="str">
        <x:f>IF(B50="","",'Регрессия'!$B$9+'Регрессия'!$B$8*B50)</x:f>
      </x:c>
      <x:c r="H50" s="63" t="str">
        <x:f>IF(F50="","",F50-G50)</x:f>
      </x:c>
      <x:c r="I50" s="63" t="str">
        <x:f>IF(H50="","",H50^2)</x:f>
      </x:c>
    </x:row>
    <x:row r="51">
      <x:c r="A51" s="64"/>
      <x:c r="B51" s="57"/>
      <x:c r="C51" s="57"/>
      <x:c r="D51" s="57"/>
      <x:c r="E51" s="65"/>
      <x:c r="F51" s="63" t="str">
        <x:f>IF(B51="","",AVERAGE(C51:E51))</x:f>
      </x:c>
      <x:c r="G51" s="63" t="str">
        <x:f>IF(B51="","",'Регрессия'!$B$9+'Регрессия'!$B$8*B51)</x:f>
      </x:c>
      <x:c r="H51" s="63" t="str">
        <x:f>IF(F51="","",F51-G51)</x:f>
      </x:c>
      <x:c r="I51" s="63" t="str">
        <x:f>IF(H51="","",H51^2)</x:f>
      </x:c>
    </x:row>
    <x:row r="52">
      <x:c r="A52" s="64"/>
      <x:c r="B52" s="57"/>
      <x:c r="C52" s="57"/>
      <x:c r="D52" s="57"/>
      <x:c r="E52" s="65"/>
      <x:c r="F52" s="63" t="str">
        <x:f>IF(B52="","",AVERAGE(C52:E52))</x:f>
      </x:c>
      <x:c r="G52" s="63" t="str">
        <x:f>IF(B52="","",'Регрессия'!$B$9+'Регрессия'!$B$8*B52)</x:f>
      </x:c>
      <x:c r="H52" s="63" t="str">
        <x:f>IF(F52="","",F52-G52)</x:f>
      </x:c>
      <x:c r="I52" s="63" t="str">
        <x:f>IF(H52="","",H52^2)</x:f>
      </x:c>
    </x:row>
    <x:row r="53">
      <x:c r="A53" s="64"/>
      <x:c r="B53" s="57"/>
      <x:c r="C53" s="57"/>
      <x:c r="D53" s="57"/>
      <x:c r="E53" s="65"/>
      <x:c r="F53" s="63" t="str">
        <x:f>IF(B53="","",AVERAGE(C53:E53))</x:f>
      </x:c>
      <x:c r="G53" s="63" t="str">
        <x:f>IF(B53="","",'Регрессия'!$B$9+'Регрессия'!$B$8*B53)</x:f>
      </x:c>
      <x:c r="H53" s="63" t="str">
        <x:f>IF(F53="","",F53-G53)</x:f>
      </x:c>
      <x:c r="I53" s="63" t="str">
        <x:f>IF(H53="","",H53^2)</x:f>
      </x:c>
    </x:row>
    <x:row r="54">
      <x:c r="A54" s="64"/>
      <x:c r="B54" s="57"/>
      <x:c r="C54" s="57"/>
      <x:c r="D54" s="57"/>
      <x:c r="E54" s="65"/>
      <x:c r="F54" s="63" t="str">
        <x:f>IF(B54="","",AVERAGE(C54:E54))</x:f>
      </x:c>
      <x:c r="G54" s="63" t="str">
        <x:f>IF(B54="","",'Регрессия'!$B$9+'Регрессия'!$B$8*B54)</x:f>
      </x:c>
      <x:c r="H54" s="63" t="str">
        <x:f>IF(F54="","",F54-G54)</x:f>
      </x:c>
      <x:c r="I54" s="63" t="str">
        <x:f>IF(H54="","",H54^2)</x:f>
      </x:c>
    </x:row>
    <x:row r="55">
      <x:c r="A55" s="64"/>
      <x:c r="B55" s="57"/>
      <x:c r="C55" s="57"/>
      <x:c r="D55" s="57"/>
      <x:c r="E55" s="65"/>
      <x:c r="F55" s="63" t="str">
        <x:f>IF(B55="","",AVERAGE(C55:E55))</x:f>
      </x:c>
      <x:c r="G55" s="63" t="str">
        <x:f>IF(B55="","",'Регрессия'!$B$9+'Регрессия'!$B$8*B55)</x:f>
      </x:c>
      <x:c r="H55" s="63" t="str">
        <x:f>IF(F55="","",F55-G55)</x:f>
      </x:c>
      <x:c r="I55" s="63" t="str">
        <x:f>IF(H55="","",H55^2)</x:f>
      </x:c>
    </x:row>
    <x:row r="56">
      <x:c r="A56" s="64"/>
      <x:c r="B56" s="57"/>
      <x:c r="C56" s="57"/>
      <x:c r="D56" s="57"/>
      <x:c r="E56" s="65"/>
      <x:c r="F56" s="63" t="str">
        <x:f>IF(B56="","",AVERAGE(C56:E56))</x:f>
      </x:c>
      <x:c r="G56" s="63" t="str">
        <x:f>IF(B56="","",'Регрессия'!$B$9+'Регрессия'!$B$8*B56)</x:f>
      </x:c>
      <x:c r="H56" s="63" t="str">
        <x:f>IF(F56="","",F56-G56)</x:f>
      </x:c>
      <x:c r="I56" s="63" t="str">
        <x:f>IF(H56="","",H56^2)</x:f>
      </x:c>
    </x:row>
    <x:row r="57">
      <x:c r="A57" s="64"/>
      <x:c r="B57" s="57"/>
      <x:c r="C57" s="57"/>
      <x:c r="D57" s="57"/>
      <x:c r="E57" s="65"/>
      <x:c r="F57" s="63" t="str">
        <x:f>IF(B57="","",AVERAGE(C57:E57))</x:f>
      </x:c>
      <x:c r="G57" s="63" t="str">
        <x:f>IF(B57="","",'Регрессия'!$B$9+'Регрессия'!$B$8*B57)</x:f>
      </x:c>
      <x:c r="H57" s="63" t="str">
        <x:f>IF(F57="","",F57-G57)</x:f>
      </x:c>
      <x:c r="I57" s="63" t="str">
        <x:f>IF(H57="","",H57^2)</x:f>
      </x:c>
    </x:row>
    <x:row r="58">
      <x:c r="A58" s="64"/>
      <x:c r="B58" s="57"/>
      <x:c r="C58" s="57"/>
      <x:c r="D58" s="57"/>
      <x:c r="E58" s="65"/>
      <x:c r="F58" s="63" t="str">
        <x:f>IF(B58="","",AVERAGE(C58:E58))</x:f>
      </x:c>
      <x:c r="G58" s="63" t="str">
        <x:f>IF(B58="","",'Регрессия'!$B$9+'Регрессия'!$B$8*B58)</x:f>
      </x:c>
      <x:c r="H58" s="63" t="str">
        <x:f>IF(F58="","",F58-G58)</x:f>
      </x:c>
      <x:c r="I58" s="63" t="str">
        <x:f>IF(H58="","",H58^2)</x:f>
      </x:c>
    </x:row>
    <x:row r="59">
      <x:c r="A59" s="64"/>
      <x:c r="B59" s="57"/>
      <x:c r="C59" s="57"/>
      <x:c r="D59" s="57"/>
      <x:c r="E59" s="65"/>
      <x:c r="F59" s="63" t="str">
        <x:f>IF(B59="","",AVERAGE(C59:E59))</x:f>
      </x:c>
      <x:c r="G59" s="63" t="str">
        <x:f>IF(B59="","",'Регрессия'!$B$9+'Регрессия'!$B$8*B59)</x:f>
      </x:c>
      <x:c r="H59" s="63" t="str">
        <x:f>IF(F59="","",F59-G59)</x:f>
      </x:c>
      <x:c r="I59" s="63" t="str">
        <x:f>IF(H59="","",H59^2)</x:f>
      </x:c>
    </x:row>
    <x:row r="60">
      <x:c r="A60" s="64"/>
      <x:c r="B60" s="57"/>
      <x:c r="C60" s="57"/>
      <x:c r="D60" s="57"/>
      <x:c r="E60" s="65"/>
      <x:c r="F60" s="63" t="str">
        <x:f>IF(B60="","",AVERAGE(C60:E60))</x:f>
      </x:c>
      <x:c r="G60" s="63" t="str">
        <x:f>IF(B60="","",'Регрессия'!$B$9+'Регрессия'!$B$8*B60)</x:f>
      </x:c>
      <x:c r="H60" s="63" t="str">
        <x:f>IF(F60="","",F60-G60)</x:f>
      </x:c>
      <x:c r="I60" s="63" t="str">
        <x:f>IF(H60="","",H60^2)</x:f>
      </x:c>
    </x:row>
    <x:row r="61">
      <x:c r="A61" s="64"/>
      <x:c r="B61" s="57"/>
      <x:c r="C61" s="57"/>
      <x:c r="D61" s="57"/>
      <x:c r="E61" s="65"/>
      <x:c r="F61" s="63" t="str">
        <x:f>IF(B61="","",AVERAGE(C61:E61))</x:f>
      </x:c>
      <x:c r="G61" s="63" t="str">
        <x:f>IF(B61="","",'Регрессия'!$B$9+'Регрессия'!$B$8*B61)</x:f>
      </x:c>
      <x:c r="H61" s="63" t="str">
        <x:f>IF(F61="","",F61-G61)</x:f>
      </x:c>
      <x:c r="I61" s="63" t="str">
        <x:f>IF(H61="","",H61^2)</x:f>
      </x:c>
    </x:row>
    <x:row r="62">
      <x:c r="A62" s="64"/>
      <x:c r="B62" s="57"/>
      <x:c r="C62" s="57"/>
      <x:c r="D62" s="57"/>
      <x:c r="E62" s="65"/>
      <x:c r="F62" s="63" t="str">
        <x:f>IF(B62="","",AVERAGE(C62:E62))</x:f>
      </x:c>
      <x:c r="G62" s="63" t="str">
        <x:f>IF(B62="","",'Регрессия'!$B$9+'Регрессия'!$B$8*B62)</x:f>
      </x:c>
      <x:c r="H62" s="63" t="str">
        <x:f>IF(F62="","",F62-G62)</x:f>
      </x:c>
      <x:c r="I62" s="63" t="str">
        <x:f>IF(H62="","",H62^2)</x:f>
      </x:c>
    </x:row>
    <x:row r="63">
      <x:c r="A63" s="64"/>
      <x:c r="B63" s="57"/>
      <x:c r="C63" s="57"/>
      <x:c r="D63" s="57"/>
      <x:c r="E63" s="65"/>
      <x:c r="F63" s="63" t="str">
        <x:f>IF(B63="","",AVERAGE(C63:E63))</x:f>
      </x:c>
      <x:c r="G63" s="63" t="str">
        <x:f>IF(B63="","",'Регрессия'!$B$9+'Регрессия'!$B$8*B63)</x:f>
      </x:c>
      <x:c r="H63" s="63" t="str">
        <x:f>IF(F63="","",F63-G63)</x:f>
      </x:c>
      <x:c r="I63" s="63" t="str">
        <x:f>IF(H63="","",H63^2)</x:f>
      </x:c>
    </x:row>
    <x:row r="64">
      <x:c r="A64" s="64"/>
      <x:c r="B64" s="57"/>
      <x:c r="C64" s="57"/>
      <x:c r="D64" s="57"/>
      <x:c r="E64" s="65"/>
      <x:c r="F64" s="63" t="str">
        <x:f>IF(B64="","",AVERAGE(C64:E64))</x:f>
      </x:c>
      <x:c r="G64" s="63" t="str">
        <x:f>IF(B64="","",'Регрессия'!$B$9+'Регрессия'!$B$8*B64)</x:f>
      </x:c>
      <x:c r="H64" s="63" t="str">
        <x:f>IF(F64="","",F64-G64)</x:f>
      </x:c>
      <x:c r="I64" s="63" t="str">
        <x:f>IF(H64="","",H64^2)</x:f>
      </x:c>
    </x:row>
    <x:row r="65">
      <x:c r="A65" s="64"/>
      <x:c r="B65" s="57"/>
      <x:c r="C65" s="57"/>
      <x:c r="D65" s="57"/>
      <x:c r="E65" s="65"/>
      <x:c r="F65" s="63" t="str">
        <x:f>IF(B65="","",AVERAGE(C65:E65))</x:f>
      </x:c>
      <x:c r="G65" s="63" t="str">
        <x:f>IF(B65="","",'Регрессия'!$B$9+'Регрессия'!$B$8*B65)</x:f>
      </x:c>
      <x:c r="H65" s="63" t="str">
        <x:f>IF(F65="","",F65-G65)</x:f>
      </x:c>
      <x:c r="I65" s="63" t="str">
        <x:f>IF(H65="","",H65^2)</x:f>
      </x:c>
    </x:row>
    <x:row r="66">
      <x:c r="A66" s="64"/>
      <x:c r="B66" s="57"/>
      <x:c r="C66" s="57"/>
      <x:c r="D66" s="57"/>
      <x:c r="E66" s="65"/>
      <x:c r="F66" s="63" t="str">
        <x:f>IF(B66="","",AVERAGE(C66:E66))</x:f>
      </x:c>
      <x:c r="G66" s="63" t="str">
        <x:f>IF(B66="","",'Регрессия'!$B$9+'Регрессия'!$B$8*B66)</x:f>
      </x:c>
      <x:c r="H66" s="63" t="str">
        <x:f>IF(F66="","",F66-G66)</x:f>
      </x:c>
      <x:c r="I66" s="63" t="str">
        <x:f>IF(H66="","",H66^2)</x:f>
      </x:c>
    </x:row>
    <x:row r="67">
      <x:c r="A67" s="64"/>
      <x:c r="B67" s="57"/>
      <x:c r="C67" s="57"/>
      <x:c r="D67" s="57"/>
      <x:c r="E67" s="65"/>
      <x:c r="F67" s="63" t="str">
        <x:f>IF(B67="","",AVERAGE(C67:E67))</x:f>
      </x:c>
      <x:c r="G67" s="63" t="str">
        <x:f>IF(B67="","",'Регрессия'!$B$9+'Регрессия'!$B$8*B67)</x:f>
      </x:c>
      <x:c r="H67" s="63" t="str">
        <x:f>IF(F67="","",F67-G67)</x:f>
      </x:c>
      <x:c r="I67" s="63" t="str">
        <x:f>IF(H67="","",H67^2)</x:f>
      </x:c>
    </x:row>
    <x:row r="68">
      <x:c r="A68" s="64"/>
      <x:c r="B68" s="57"/>
      <x:c r="C68" s="57"/>
      <x:c r="D68" s="57"/>
      <x:c r="E68" s="65"/>
      <x:c r="F68" s="63" t="str">
        <x:f>IF(B68="","",AVERAGE(C68:E68))</x:f>
      </x:c>
      <x:c r="G68" s="63" t="str">
        <x:f>IF(B68="","",'Регрессия'!$B$9+'Регрессия'!$B$8*B68)</x:f>
      </x:c>
      <x:c r="H68" s="63" t="str">
        <x:f>IF(F68="","",F68-G68)</x:f>
      </x:c>
      <x:c r="I68" s="63" t="str">
        <x:f>IF(H68="","",H68^2)</x:f>
      </x:c>
    </x:row>
    <x:row r="69">
      <x:c r="A69" s="64"/>
      <x:c r="B69" s="57"/>
      <x:c r="C69" s="57"/>
      <x:c r="D69" s="57"/>
      <x:c r="E69" s="65"/>
      <x:c r="F69" s="63" t="str">
        <x:f>IF(B69="","",AVERAGE(C69:E69))</x:f>
      </x:c>
      <x:c r="G69" s="63" t="str">
        <x:f>IF(B69="","",'Регрессия'!$B$9+'Регрессия'!$B$8*B69)</x:f>
      </x:c>
      <x:c r="H69" s="63" t="str">
        <x:f>IF(F69="","",F69-G69)</x:f>
      </x:c>
      <x:c r="I69" s="63" t="str">
        <x:f>IF(H69="","",H69^2)</x:f>
      </x:c>
    </x:row>
    <x:row r="70">
      <x:c r="A70" s="64"/>
      <x:c r="B70" s="57"/>
      <x:c r="C70" s="57"/>
      <x:c r="D70" s="57"/>
      <x:c r="E70" s="65"/>
      <x:c r="F70" s="63" t="str">
        <x:f>IF(B70="","",AVERAGE(C70:E70))</x:f>
      </x:c>
      <x:c r="G70" s="63" t="str">
        <x:f>IF(B70="","",'Регрессия'!$B$9+'Регрессия'!$B$8*B70)</x:f>
      </x:c>
      <x:c r="H70" s="63" t="str">
        <x:f>IF(F70="","",F70-G70)</x:f>
      </x:c>
      <x:c r="I70" s="63" t="str">
        <x:f>IF(H70="","",H70^2)</x:f>
      </x:c>
    </x:row>
    <x:row r="71">
      <x:c r="A71" s="64"/>
      <x:c r="B71" s="57"/>
      <x:c r="C71" s="57"/>
      <x:c r="D71" s="57"/>
      <x:c r="E71" s="65"/>
      <x:c r="F71" s="63" t="str">
        <x:f>IF(B71="","",AVERAGE(C71:E71))</x:f>
      </x:c>
      <x:c r="G71" s="63" t="str">
        <x:f>IF(B71="","",'Регрессия'!$B$9+'Регрессия'!$B$8*B71)</x:f>
      </x:c>
      <x:c r="H71" s="63" t="str">
        <x:f>IF(F71="","",F71-G71)</x:f>
      </x:c>
      <x:c r="I71" s="63" t="str">
        <x:f>IF(H71="","",H71^2)</x:f>
      </x:c>
    </x:row>
    <x:row r="72">
      <x:c r="A72" s="64"/>
      <x:c r="B72" s="57"/>
      <x:c r="C72" s="57"/>
      <x:c r="D72" s="57"/>
      <x:c r="E72" s="65"/>
      <x:c r="F72" s="63" t="str">
        <x:f>IF(B72="","",AVERAGE(C72:E72))</x:f>
      </x:c>
      <x:c r="G72" s="63" t="str">
        <x:f>IF(B72="","",'Регрессия'!$B$9+'Регрессия'!$B$8*B72)</x:f>
      </x:c>
      <x:c r="H72" s="63" t="str">
        <x:f>IF(F72="","",F72-G72)</x:f>
      </x:c>
      <x:c r="I72" s="63" t="str">
        <x:f>IF(H72="","",H72^2)</x:f>
      </x:c>
    </x:row>
    <x:row r="73">
      <x:c r="A73" s="64"/>
      <x:c r="B73" s="57"/>
      <x:c r="C73" s="57"/>
      <x:c r="D73" s="57"/>
      <x:c r="E73" s="65"/>
      <x:c r="F73" s="63" t="str">
        <x:f>IF(B73="","",AVERAGE(C73:E73))</x:f>
      </x:c>
      <x:c r="G73" s="63" t="str">
        <x:f>IF(B73="","",'Регрессия'!$B$9+'Регрессия'!$B$8*B73)</x:f>
      </x:c>
      <x:c r="H73" s="63" t="str">
        <x:f>IF(F73="","",F73-G73)</x:f>
      </x:c>
      <x:c r="I73" s="63" t="str">
        <x:f>IF(H73="","",H73^2)</x:f>
      </x:c>
    </x:row>
    <x:row r="74">
      <x:c r="A74" s="64"/>
      <x:c r="B74" s="57"/>
      <x:c r="C74" s="57"/>
      <x:c r="D74" s="57"/>
      <x:c r="E74" s="65"/>
      <x:c r="F74" s="63" t="str">
        <x:f>IF(B74="","",AVERAGE(C74:E74))</x:f>
      </x:c>
      <x:c r="G74" s="63" t="str">
        <x:f>IF(B74="","",'Регрессия'!$B$9+'Регрессия'!$B$8*B74)</x:f>
      </x:c>
      <x:c r="H74" s="63" t="str">
        <x:f>IF(F74="","",F74-G74)</x:f>
      </x:c>
      <x:c r="I74" s="63" t="str">
        <x:f>IF(H74="","",H74^2)</x:f>
      </x:c>
    </x:row>
    <x:row r="75">
      <x:c r="A75" s="64"/>
      <x:c r="B75" s="57"/>
      <x:c r="C75" s="57"/>
      <x:c r="D75" s="57"/>
      <x:c r="E75" s="65"/>
      <x:c r="F75" s="63" t="str">
        <x:f>IF(B75="","",AVERAGE(C75:E75))</x:f>
      </x:c>
      <x:c r="G75" s="63" t="str">
        <x:f>IF(B75="","",'Регрессия'!$B$9+'Регрессия'!$B$8*B75)</x:f>
      </x:c>
      <x:c r="H75" s="63" t="str">
        <x:f>IF(F75="","",F75-G75)</x:f>
      </x:c>
      <x:c r="I75" s="63" t="str">
        <x:f>IF(H75="","",H75^2)</x:f>
      </x:c>
    </x:row>
    <x:row r="76">
      <x:c r="A76" s="64"/>
      <x:c r="B76" s="57"/>
      <x:c r="C76" s="57"/>
      <x:c r="D76" s="57"/>
      <x:c r="E76" s="65"/>
      <x:c r="F76" s="63" t="str">
        <x:f>IF(B76="","",AVERAGE(C76:E76))</x:f>
      </x:c>
      <x:c r="G76" s="63" t="str">
        <x:f>IF(B76="","",'Регрессия'!$B$9+'Регрессия'!$B$8*B76)</x:f>
      </x:c>
      <x:c r="H76" s="63" t="str">
        <x:f>IF(F76="","",F76-G76)</x:f>
      </x:c>
      <x:c r="I76" s="63" t="str">
        <x:f>IF(H76="","",H76^2)</x:f>
      </x:c>
    </x:row>
    <x:row r="77">
      <x:c r="A77" s="64"/>
      <x:c r="B77" s="57"/>
      <x:c r="C77" s="57"/>
      <x:c r="D77" s="57"/>
      <x:c r="E77" s="65"/>
      <x:c r="F77" s="63" t="str">
        <x:f>IF(B77="","",AVERAGE(C77:E77))</x:f>
      </x:c>
      <x:c r="G77" s="63" t="str">
        <x:f>IF(B77="","",'Регрессия'!$B$9+'Регрессия'!$B$8*B77)</x:f>
      </x:c>
      <x:c r="H77" s="63" t="str">
        <x:f>IF(F77="","",F77-G77)</x:f>
      </x:c>
      <x:c r="I77" s="63" t="str">
        <x:f>IF(H77="","",H77^2)</x:f>
      </x:c>
    </x:row>
    <x:row r="78">
      <x:c r="A78" s="64"/>
      <x:c r="B78" s="57"/>
      <x:c r="C78" s="57"/>
      <x:c r="D78" s="57"/>
      <x:c r="E78" s="65"/>
      <x:c r="F78" s="63" t="str">
        <x:f>IF(B78="","",AVERAGE(C78:E78))</x:f>
      </x:c>
      <x:c r="G78" s="63" t="str">
        <x:f>IF(B78="","",'Регрессия'!$B$9+'Регрессия'!$B$8*B78)</x:f>
      </x:c>
      <x:c r="H78" s="63" t="str">
        <x:f>IF(F78="","",F78-G78)</x:f>
      </x:c>
      <x:c r="I78" s="63" t="str">
        <x:f>IF(H78="","",H78^2)</x:f>
      </x:c>
    </x:row>
    <x:row r="79">
      <x:c r="A79" s="64"/>
      <x:c r="B79" s="57"/>
      <x:c r="C79" s="57"/>
      <x:c r="D79" s="57"/>
      <x:c r="E79" s="65"/>
      <x:c r="F79" s="63" t="str">
        <x:f>IF(B79="","",AVERAGE(C79:E79))</x:f>
      </x:c>
      <x:c r="G79" s="63" t="str">
        <x:f>IF(B79="","",'Регрессия'!$B$9+'Регрессия'!$B$8*B79)</x:f>
      </x:c>
      <x:c r="H79" s="63" t="str">
        <x:f>IF(F79="","",F79-G79)</x:f>
      </x:c>
      <x:c r="I79" s="63" t="str">
        <x:f>IF(H79="","",H79^2)</x:f>
      </x:c>
    </x:row>
    <x:row r="80">
      <x:c r="A80" s="64"/>
      <x:c r="B80" s="57"/>
      <x:c r="C80" s="57"/>
      <x:c r="D80" s="57"/>
      <x:c r="E80" s="65"/>
      <x:c r="F80" s="63" t="str">
        <x:f>IF(B80="","",AVERAGE(C80:E80))</x:f>
      </x:c>
      <x:c r="G80" s="63" t="str">
        <x:f>IF(B80="","",'Регрессия'!$B$9+'Регрессия'!$B$8*B80)</x:f>
      </x:c>
      <x:c r="H80" s="63" t="str">
        <x:f>IF(F80="","",F80-G80)</x:f>
      </x:c>
      <x:c r="I80" s="63" t="str">
        <x:f>IF(H80="","",H80^2)</x:f>
      </x:c>
    </x:row>
    <x:row r="81">
      <x:c r="A81" s="64"/>
      <x:c r="B81" s="57"/>
      <x:c r="C81" s="57"/>
      <x:c r="D81" s="57"/>
      <x:c r="E81" s="65"/>
      <x:c r="F81" s="63" t="str">
        <x:f>IF(B81="","",AVERAGE(C81:E81))</x:f>
      </x:c>
      <x:c r="G81" s="63" t="str">
        <x:f>IF(B81="","",'Регрессия'!$B$9+'Регрессия'!$B$8*B81)</x:f>
      </x:c>
      <x:c r="H81" s="63" t="str">
        <x:f>IF(F81="","",F81-G81)</x:f>
      </x:c>
      <x:c r="I81" s="63" t="str">
        <x:f>IF(H81="","",H81^2)</x:f>
      </x:c>
    </x:row>
    <x:row r="82">
      <x:c r="A82" s="64"/>
      <x:c r="B82" s="57"/>
      <x:c r="C82" s="57"/>
      <x:c r="D82" s="57"/>
      <x:c r="E82" s="65"/>
      <x:c r="F82" s="63" t="str">
        <x:f>IF(B82="","",AVERAGE(C82:E82))</x:f>
      </x:c>
      <x:c r="G82" s="63" t="str">
        <x:f>IF(B82="","",'Регрессия'!$B$9+'Регрессия'!$B$8*B82)</x:f>
      </x:c>
      <x:c r="H82" s="63" t="str">
        <x:f>IF(F82="","",F82-G82)</x:f>
      </x:c>
      <x:c r="I82" s="63" t="str">
        <x:f>IF(H82="","",H82^2)</x:f>
      </x:c>
    </x:row>
    <x:row r="83">
      <x:c r="A83" s="64"/>
      <x:c r="B83" s="57"/>
      <x:c r="C83" s="57"/>
      <x:c r="D83" s="57"/>
      <x:c r="E83" s="65"/>
      <x:c r="F83" s="63" t="str">
        <x:f>IF(B83="","",AVERAGE(C83:E83))</x:f>
      </x:c>
      <x:c r="G83" s="63" t="str">
        <x:f>IF(B83="","",'Регрессия'!$B$9+'Регрессия'!$B$8*B83)</x:f>
      </x:c>
      <x:c r="H83" s="63" t="str">
        <x:f>IF(F83="","",F83-G83)</x:f>
      </x:c>
      <x:c r="I83" s="63" t="str">
        <x:f>IF(H83="","",H83^2)</x:f>
      </x:c>
    </x:row>
    <x:row r="84">
      <x:c r="A84" s="64"/>
      <x:c r="B84" s="57"/>
      <x:c r="C84" s="57"/>
      <x:c r="D84" s="57"/>
      <x:c r="E84" s="65"/>
      <x:c r="F84" s="63" t="str">
        <x:f>IF(B84="","",AVERAGE(C84:E84))</x:f>
      </x:c>
      <x:c r="G84" s="63" t="str">
        <x:f>IF(B84="","",'Регрессия'!$B$9+'Регрессия'!$B$8*B84)</x:f>
      </x:c>
      <x:c r="H84" s="63" t="str">
        <x:f>IF(F84="","",F84-G84)</x:f>
      </x:c>
      <x:c r="I84" s="63" t="str">
        <x:f>IF(H84="","",H84^2)</x:f>
      </x:c>
    </x:row>
    <x:row r="85">
      <x:c r="A85" s="64"/>
      <x:c r="B85" s="57"/>
      <x:c r="C85" s="57"/>
      <x:c r="D85" s="57"/>
      <x:c r="E85" s="65"/>
      <x:c r="F85" s="63" t="str">
        <x:f>IF(B85="","",AVERAGE(C85:E85))</x:f>
      </x:c>
      <x:c r="G85" s="63" t="str">
        <x:f>IF(B85="","",'Регрессия'!$B$9+'Регрессия'!$B$8*B85)</x:f>
      </x:c>
      <x:c r="H85" s="63" t="str">
        <x:f>IF(F85="","",F85-G85)</x:f>
      </x:c>
      <x:c r="I85" s="63" t="str">
        <x:f>IF(H85="","",H85^2)</x:f>
      </x:c>
    </x:row>
    <x:row r="86">
      <x:c r="A86" s="64"/>
      <x:c r="B86" s="57"/>
      <x:c r="C86" s="57"/>
      <x:c r="D86" s="57"/>
      <x:c r="E86" s="65"/>
      <x:c r="F86" s="63" t="str">
        <x:f>IF(B86="","",AVERAGE(C86:E86))</x:f>
      </x:c>
      <x:c r="G86" s="63" t="str">
        <x:f>IF(B86="","",'Регрессия'!$B$9+'Регрессия'!$B$8*B86)</x:f>
      </x:c>
      <x:c r="H86" s="63" t="str">
        <x:f>IF(F86="","",F86-G86)</x:f>
      </x:c>
      <x:c r="I86" s="63" t="str">
        <x:f>IF(H86="","",H86^2)</x:f>
      </x:c>
    </x:row>
    <x:row r="87">
      <x:c r="A87" s="64"/>
      <x:c r="B87" s="57"/>
      <x:c r="C87" s="57"/>
      <x:c r="D87" s="57"/>
      <x:c r="E87" s="65"/>
      <x:c r="F87" s="63" t="str">
        <x:f>IF(B87="","",AVERAGE(C87:E87))</x:f>
      </x:c>
      <x:c r="G87" s="63" t="str">
        <x:f>IF(B87="","",'Регрессия'!$B$9+'Регрессия'!$B$8*B87)</x:f>
      </x:c>
      <x:c r="H87" s="63" t="str">
        <x:f>IF(F87="","",F87-G87)</x:f>
      </x:c>
      <x:c r="I87" s="63" t="str">
        <x:f>IF(H87="","",H87^2)</x:f>
      </x:c>
    </x:row>
    <x:row r="88">
      <x:c r="A88" s="64"/>
      <x:c r="B88" s="57"/>
      <x:c r="C88" s="57"/>
      <x:c r="D88" s="57"/>
      <x:c r="E88" s="65"/>
      <x:c r="F88" s="63" t="str">
        <x:f>IF(B88="","",AVERAGE(C88:E88))</x:f>
      </x:c>
      <x:c r="G88" s="63" t="str">
        <x:f>IF(B88="","",'Регрессия'!$B$9+'Регрессия'!$B$8*B88)</x:f>
      </x:c>
      <x:c r="H88" s="63" t="str">
        <x:f>IF(F88="","",F88-G88)</x:f>
      </x:c>
      <x:c r="I88" s="63" t="str">
        <x:f>IF(H88="","",H88^2)</x:f>
      </x:c>
    </x:row>
    <x:row r="89">
      <x:c r="A89" s="64"/>
      <x:c r="B89" s="57"/>
      <x:c r="C89" s="57"/>
      <x:c r="D89" s="57"/>
      <x:c r="E89" s="65"/>
      <x:c r="F89" s="63" t="str">
        <x:f>IF(B89="","",AVERAGE(C89:E89))</x:f>
      </x:c>
      <x:c r="G89" s="63" t="str">
        <x:f>IF(B89="","",'Регрессия'!$B$9+'Регрессия'!$B$8*B89)</x:f>
      </x:c>
      <x:c r="H89" s="63" t="str">
        <x:f>IF(F89="","",F89-G89)</x:f>
      </x:c>
      <x:c r="I89" s="63" t="str">
        <x:f>IF(H89="","",H89^2)</x:f>
      </x:c>
    </x:row>
    <x:row r="90">
      <x:c r="A90" s="64"/>
      <x:c r="B90" s="57"/>
      <x:c r="C90" s="57"/>
      <x:c r="D90" s="57"/>
      <x:c r="E90" s="65"/>
      <x:c r="F90" s="63" t="str">
        <x:f>IF(B90="","",AVERAGE(C90:E90))</x:f>
      </x:c>
      <x:c r="G90" s="63" t="str">
        <x:f>IF(B90="","",'Регрессия'!$B$9+'Регрессия'!$B$8*B90)</x:f>
      </x:c>
      <x:c r="H90" s="63" t="str">
        <x:f>IF(F90="","",F90-G90)</x:f>
      </x:c>
      <x:c r="I90" s="63" t="str">
        <x:f>IF(H90="","",H90^2)</x:f>
      </x:c>
    </x:row>
    <x:row r="91">
      <x:c r="A91" s="64"/>
      <x:c r="B91" s="57"/>
      <x:c r="C91" s="57"/>
      <x:c r="D91" s="57"/>
      <x:c r="E91" s="65"/>
      <x:c r="F91" s="63" t="str">
        <x:f>IF(B91="","",AVERAGE(C91:E91))</x:f>
      </x:c>
      <x:c r="G91" s="63" t="str">
        <x:f>IF(B91="","",'Регрессия'!$B$9+'Регрессия'!$B$8*B91)</x:f>
      </x:c>
      <x:c r="H91" s="63" t="str">
        <x:f>IF(F91="","",F91-G91)</x:f>
      </x:c>
      <x:c r="I91" s="63" t="str">
        <x:f>IF(H91="","",H91^2)</x:f>
      </x:c>
    </x:row>
    <x:row r="92">
      <x:c r="A92" s="64"/>
      <x:c r="B92" s="57"/>
      <x:c r="C92" s="57"/>
      <x:c r="D92" s="57"/>
      <x:c r="E92" s="65"/>
      <x:c r="F92" s="63" t="str">
        <x:f>IF(B92="","",AVERAGE(C92:E92))</x:f>
      </x:c>
      <x:c r="G92" s="63" t="str">
        <x:f>IF(B92="","",'Регрессия'!$B$9+'Регрессия'!$B$8*B92)</x:f>
      </x:c>
      <x:c r="H92" s="63" t="str">
        <x:f>IF(F92="","",F92-G92)</x:f>
      </x:c>
      <x:c r="I92" s="63" t="str">
        <x:f>IF(H92="","",H92^2)</x:f>
      </x:c>
    </x:row>
    <x:row r="93">
      <x:c r="A93" s="64"/>
      <x:c r="B93" s="57"/>
      <x:c r="C93" s="57"/>
      <x:c r="D93" s="57"/>
      <x:c r="E93" s="65"/>
      <x:c r="F93" s="63" t="str">
        <x:f>IF(B93="","",AVERAGE(C93:E93))</x:f>
      </x:c>
      <x:c r="G93" s="63" t="str">
        <x:f>IF(B93="","",'Регрессия'!$B$9+'Регрессия'!$B$8*B93)</x:f>
      </x:c>
      <x:c r="H93" s="63" t="str">
        <x:f>IF(F93="","",F93-G93)</x:f>
      </x:c>
      <x:c r="I93" s="63" t="str">
        <x:f>IF(H93="","",H93^2)</x:f>
      </x:c>
    </x:row>
    <x:row r="94">
      <x:c r="A94" s="64"/>
      <x:c r="B94" s="57"/>
      <x:c r="C94" s="57"/>
      <x:c r="D94" s="57"/>
      <x:c r="E94" s="65"/>
      <x:c r="F94" s="63" t="str">
        <x:f>IF(B94="","",AVERAGE(C94:E94))</x:f>
      </x:c>
      <x:c r="G94" s="63" t="str">
        <x:f>IF(B94="","",'Регрессия'!$B$9+'Регрессия'!$B$8*B94)</x:f>
      </x:c>
      <x:c r="H94" s="63" t="str">
        <x:f>IF(F94="","",F94-G94)</x:f>
      </x:c>
      <x:c r="I94" s="63" t="str">
        <x:f>IF(H94="","",H94^2)</x:f>
      </x:c>
    </x:row>
    <x:row r="95">
      <x:c r="A95" s="64"/>
      <x:c r="B95" s="57"/>
      <x:c r="C95" s="57"/>
      <x:c r="D95" s="57"/>
      <x:c r="E95" s="65"/>
      <x:c r="F95" s="63" t="str">
        <x:f>IF(B95="","",AVERAGE(C95:E95))</x:f>
      </x:c>
      <x:c r="G95" s="63" t="str">
        <x:f>IF(B95="","",'Регрессия'!$B$9+'Регрессия'!$B$8*B95)</x:f>
      </x:c>
      <x:c r="H95" s="63" t="str">
        <x:f>IF(F95="","",F95-G95)</x:f>
      </x:c>
      <x:c r="I95" s="63" t="str">
        <x:f>IF(H95="","",H95^2)</x:f>
      </x:c>
    </x:row>
    <x:row r="96">
      <x:c r="A96" s="64"/>
      <x:c r="B96" s="57"/>
      <x:c r="C96" s="57"/>
      <x:c r="D96" s="57"/>
      <x:c r="E96" s="65"/>
      <x:c r="F96" s="63" t="str">
        <x:f>IF(B96="","",AVERAGE(C96:E96))</x:f>
      </x:c>
      <x:c r="G96" s="63" t="str">
        <x:f>IF(B96="","",'Регрессия'!$B$9+'Регрессия'!$B$8*B96)</x:f>
      </x:c>
      <x:c r="H96" s="63" t="str">
        <x:f>IF(F96="","",F96-G96)</x:f>
      </x:c>
      <x:c r="I96" s="63" t="str">
        <x:f>IF(H96="","",H96^2)</x:f>
      </x:c>
    </x:row>
    <x:row r="97">
      <x:c r="A97" s="64"/>
      <x:c r="B97" s="57"/>
      <x:c r="C97" s="57"/>
      <x:c r="D97" s="57"/>
      <x:c r="E97" s="65"/>
      <x:c r="F97" s="63" t="str">
        <x:f>IF(B97="","",AVERAGE(C97:E97))</x:f>
      </x:c>
      <x:c r="G97" s="63" t="str">
        <x:f>IF(B97="","",'Регрессия'!$B$9+'Регрессия'!$B$8*B97)</x:f>
      </x:c>
      <x:c r="H97" s="63" t="str">
        <x:f>IF(F97="","",F97-G97)</x:f>
      </x:c>
      <x:c r="I97" s="63" t="str">
        <x:f>IF(H97="","",H97^2)</x:f>
      </x:c>
    </x:row>
    <x:row r="98">
      <x:c r="A98" s="64"/>
      <x:c r="B98" s="57"/>
      <x:c r="C98" s="57"/>
      <x:c r="D98" s="57"/>
      <x:c r="E98" s="65"/>
      <x:c r="F98" s="63" t="str">
        <x:f>IF(B98="","",AVERAGE(C98:E98))</x:f>
      </x:c>
      <x:c r="G98" s="63" t="str">
        <x:f>IF(B98="","",'Регрессия'!$B$9+'Регрессия'!$B$8*B98)</x:f>
      </x:c>
      <x:c r="H98" s="63" t="str">
        <x:f>IF(F98="","",F98-G98)</x:f>
      </x:c>
      <x:c r="I98" s="63" t="str">
        <x:f>IF(H98="","",H98^2)</x:f>
      </x:c>
    </x:row>
    <x:row r="99">
      <x:c r="A99" s="64"/>
      <x:c r="B99" s="57"/>
      <x:c r="C99" s="57"/>
      <x:c r="D99" s="57"/>
      <x:c r="E99" s="65"/>
      <x:c r="F99" s="63" t="str">
        <x:f>IF(B99="","",AVERAGE(C99:E99))</x:f>
      </x:c>
      <x:c r="G99" s="63" t="str">
        <x:f>IF(B99="","",'Регрессия'!$B$9+'Регрессия'!$B$8*B99)</x:f>
      </x:c>
      <x:c r="H99" s="63" t="str">
        <x:f>IF(F99="","",F99-G99)</x:f>
      </x:c>
      <x:c r="I99" s="63" t="str">
        <x:f>IF(H99="","",H99^2)</x:f>
      </x:c>
    </x:row>
    <x:row r="100">
      <x:c r="A100" s="64"/>
      <x:c r="B100" s="57"/>
      <x:c r="C100" s="57"/>
      <x:c r="D100" s="57"/>
      <x:c r="E100" s="65"/>
      <x:c r="F100" s="63" t="str">
        <x:f>IF(B100="","",AVERAGE(C100:E100))</x:f>
      </x:c>
      <x:c r="G100" s="63" t="str">
        <x:f>IF(B100="","",'Регрессия'!$B$9+'Регрессия'!$B$8*B100)</x:f>
      </x:c>
      <x:c r="H100" s="63" t="str">
        <x:f>IF(F100="","",F100-G100)</x:f>
      </x:c>
      <x:c r="I100" s="63" t="str">
        <x:f>IF(H100="","",H100^2)</x:f>
      </x:c>
    </x:row>
    <x:row r="101">
      <x:c r="A101" s="64"/>
      <x:c r="B101" s="57"/>
      <x:c r="C101" s="57"/>
      <x:c r="D101" s="57"/>
      <x:c r="E101" s="65"/>
      <x:c r="F101" s="63" t="str">
        <x:f>IF(B101="","",AVERAGE(C101:E101))</x:f>
      </x:c>
      <x:c r="G101" s="63" t="str">
        <x:f>IF(B101="","",'Регрессия'!$B$9+'Регрессия'!$B$8*B101)</x:f>
      </x:c>
      <x:c r="H101" s="63" t="str">
        <x:f>IF(F101="","",F101-G101)</x:f>
      </x:c>
      <x:c r="I101" s="63" t="str">
        <x:f>IF(H101="","",H101^2)</x:f>
      </x:c>
    </x:row>
    <x:row r="102">
      <x:c r="A102" s="64"/>
      <x:c r="B102" s="57"/>
      <x:c r="C102" s="57"/>
      <x:c r="D102" s="57"/>
      <x:c r="E102" s="65"/>
      <x:c r="F102" s="63" t="str">
        <x:f>IF(B102="","",AVERAGE(C102:E102))</x:f>
      </x:c>
      <x:c r="G102" s="63" t="str">
        <x:f>IF(B102="","",'Регрессия'!$B$9+'Регрессия'!$B$8*B102)</x:f>
      </x:c>
      <x:c r="H102" s="63" t="str">
        <x:f>IF(F102="","",F102-G102)</x:f>
      </x:c>
      <x:c r="I102" s="63" t="str">
        <x:f>IF(H102="","",H102^2)</x:f>
      </x:c>
    </x:row>
    <x:row r="103">
      <x:c r="A103" s="64"/>
      <x:c r="B103" s="57"/>
      <x:c r="C103" s="57"/>
      <x:c r="D103" s="57"/>
      <x:c r="E103" s="65"/>
      <x:c r="F103" s="63" t="str">
        <x:f>IF(B103="","",AVERAGE(C103:E103))</x:f>
      </x:c>
      <x:c r="G103" s="63" t="str">
        <x:f>IF(B103="","",'Регрессия'!$B$9+'Регрессия'!$B$8*B103)</x:f>
      </x:c>
      <x:c r="H103" s="63" t="str">
        <x:f>IF(F103="","",F103-G103)</x:f>
      </x:c>
      <x:c r="I103" s="63" t="str">
        <x:f>IF(H103="","",H103^2)</x:f>
      </x:c>
    </x:row>
    <x:row r="104">
      <x:c r="A104" s="64"/>
      <x:c r="B104" s="57"/>
      <x:c r="C104" s="57"/>
      <x:c r="D104" s="57"/>
      <x:c r="E104" s="65"/>
      <x:c r="F104" s="63" t="str">
        <x:f>IF(B104="","",AVERAGE(C104:E104))</x:f>
      </x:c>
      <x:c r="G104" s="63" t="str">
        <x:f>IF(B104="","",'Регрессия'!$B$9+'Регрессия'!$B$8*B104)</x:f>
      </x:c>
      <x:c r="H104" s="63" t="str">
        <x:f>IF(F104="","",F104-G104)</x:f>
      </x:c>
      <x:c r="I104" s="63" t="str">
        <x:f>IF(H104="","",H104^2)</x:f>
      </x:c>
    </x:row>
    <x:row r="105">
      <x:c r="A105" s="64"/>
      <x:c r="B105" s="57"/>
      <x:c r="C105" s="57"/>
      <x:c r="D105" s="57"/>
      <x:c r="E105" s="65"/>
      <x:c r="F105" s="63" t="str">
        <x:f>IF(B105="","",AVERAGE(C105:E105))</x:f>
      </x:c>
      <x:c r="G105" s="63" t="str">
        <x:f>IF(B105="","",'Регрессия'!$B$9+'Регрессия'!$B$8*B105)</x:f>
      </x:c>
      <x:c r="H105" s="63" t="str">
        <x:f>IF(F105="","",F105-G105)</x:f>
      </x:c>
      <x:c r="I105" s="63" t="str">
        <x:f>IF(H105="","",H105^2)</x:f>
      </x:c>
    </x:row>
    <x:row r="106">
      <x:c r="A106" s="64"/>
      <x:c r="B106" s="57"/>
      <x:c r="C106" s="57"/>
      <x:c r="D106" s="57"/>
      <x:c r="E106" s="65"/>
      <x:c r="F106" s="63" t="str">
        <x:f>IF(B106="","",AVERAGE(C106:E106))</x:f>
      </x:c>
      <x:c r="G106" s="63" t="str">
        <x:f>IF(B106="","",'Регрессия'!$B$9+'Регрессия'!$B$8*B106)</x:f>
      </x:c>
      <x:c r="H106" s="63" t="str">
        <x:f>IF(F106="","",F106-G106)</x:f>
      </x:c>
      <x:c r="I106" s="63" t="str">
        <x:f>IF(H106="","",H106^2)</x:f>
      </x:c>
    </x:row>
    <x:row r="107">
      <x:c r="A107" s="64"/>
      <x:c r="B107" s="57"/>
      <x:c r="C107" s="57"/>
      <x:c r="D107" s="57"/>
      <x:c r="E107" s="65"/>
      <x:c r="F107" s="63" t="str">
        <x:f>IF(B107="","",AVERAGE(C107:E107))</x:f>
      </x:c>
      <x:c r="G107" s="63" t="str">
        <x:f>IF(B107="","",'Регрессия'!$B$9+'Регрессия'!$B$8*B107)</x:f>
      </x:c>
      <x:c r="H107" s="63" t="str">
        <x:f>IF(F107="","",F107-G107)</x:f>
      </x:c>
      <x:c r="I107" s="63" t="str">
        <x:f>IF(H107="","",H107^2)</x:f>
      </x:c>
    </x:row>
    <x:row r="108">
      <x:c r="A108" s="66"/>
      <x:c r="B108" s="67"/>
      <x:c r="C108" s="67"/>
      <x:c r="D108" s="67"/>
      <x:c r="E108" s="68"/>
      <x:c r="F108" s="63" t="str">
        <x:f>IF(B108="","",AVERAGE(C108:E108))</x:f>
      </x:c>
      <x:c r="G108" s="63" t="str">
        <x:f>IF(B108="","",'Регрессия'!$B$9+'Регрессия'!$B$8*B108)</x:f>
      </x:c>
      <x:c r="H108" s="63" t="str">
        <x:f>IF(F108="","",F108-G108)</x:f>
      </x:c>
      <x:c r="I108" s="63" t="str">
        <x:f>IF(H108="","",H108^2)</x:f>
      </x:c>
    </x:row>
  </x:sheetData>
  <x:mergeCells>
    <x:mergeCell ref="A1:I1"/>
    <x:mergeCell ref="A7:I7"/>
  </x:mergeCells>
  <x:dataValidations count="2">
    <x:dataValidation operator="greaterThanOrEqual" sqref="B4">
      <x:formula1>1</x:formula1>
    </x:dataValidation>
    <x:dataValidation type="decimal" operator="between" sqref="B5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46" hidden="0" customWidth="1"/>
  </x:cols>
  <x:sheetData>
    <x:row r="1">
      <x:c r="A1" s="3" t="str">
        <x:v>СТАТИСТИКИ ЛИНЕЙНОЙ РЕГРЕССИИ (МНК)</x:v>
      </x:c>
      <x:c r="B1" s="3"/>
      <x:c r="C1" s="3"/>
    </x:row>
    <x:row r="2">
      <x:c r="A2" s="18" t="str">
        <x:v>Показатель</x:v>
      </x:c>
      <x:c r="B2" s="18" t="str">
        <x:v>Значение</x:v>
      </x:c>
      <x:c r="C2" s="18" t="str">
        <x:v>Комментарий</x:v>
      </x:c>
    </x:row>
    <x:row r="3">
      <x:c r="A3" s="60" t="str">
        <x:v>Число точек калибровки n</x:v>
      </x:c>
      <x:c r="B3" s="95" t="n">
        <x:f>COUNT('Ввод'!B9:B108)</x:f>
        <x:v>6</x:v>
      </x:c>
      <x:c r="C3" s="86" t="str">
        <x:v>Число непустых значений x</x:v>
      </x:c>
    </x:row>
    <x:row r="4">
      <x:c r="A4" s="64" t="str">
        <x:v>Среднее x̄</x:v>
      </x:c>
      <x:c r="B4" s="63" t="n">
        <x:f>AVERAGE('Ввод'!B9:B108)</x:f>
        <x:v>0.5</x:v>
      </x:c>
      <x:c r="C4" s="87" t="str"/>
    </x:row>
    <x:row r="5">
      <x:c r="A5" s="64" t="str">
        <x:v>Среднее ȳ</x:v>
      </x:c>
      <x:c r="B5" s="63" t="n">
        <x:f>AVERAGE('Ввод'!F9:F108)</x:f>
        <x:v>0.16533333333333333</x:v>
      </x:c>
      <x:c r="C5" s="87" t="str">
        <x:v>По средним откликам на каждом уровне</x:v>
      </x:c>
    </x:row>
    <x:row r="6">
      <x:c r="A6" s="64" t="str">
        <x:v>Sxx = Σ(xᵢ−x̄)²</x:v>
      </x:c>
      <x:c r="B6" s="97" t="n">
        <x:f>DEVSQ('Ввод'!B9:B108)</x:f>
        <x:v>2.1100000000000114</x:v>
      </x:c>
      <x:c r="C6" s="87" t="str"/>
    </x:row>
    <x:row r="7">
      <x:c r="A7" s="64" t="str">
        <x:v>Остаточная дисперсия s²y/x</x:v>
      </x:c>
      <x:c r="B7" s="97" t="n">
        <x:f>IF(B3&gt;2,SUM('Ввод'!I9:I108)/(B3-2),NA())</x:f>
        <x:v>2.1944444444444122e-7</x:v>
      </x:c>
      <x:c r="C7" s="87" t="str">
        <x:v>Σe²/(n−2)</x:v>
      </x:c>
    </x:row>
    <x:row r="8">
      <x:c r="A8" s="64" t="str">
        <x:v>Наклон b1</x:v>
      </x:c>
      <x:c r="B8" s="97" t="n">
        <x:f>SLOPE('Ввод'!F9:F108,'Ввод'!B9:B108)</x:f>
        <x:v>0.2748333333333333</x:v>
      </x:c>
      <x:c r="C8" s="87" t="str">
        <x:v>Модель: y = b0 + b1·x</x:v>
      </x:c>
    </x:row>
    <x:row r="9">
      <x:c r="A9" s="64" t="str">
        <x:v>Сдвиг b0</x:v>
      </x:c>
      <x:c r="B9" s="97" t="n">
        <x:f>INTERCEPT('Ввод'!F9:F108,'Ввод'!B9:B108)</x:f>
        <x:v>0.0004333333333333411</x:v>
      </x:c>
      <x:c r="C9" s="87" t="str"/>
    </x:row>
    <x:row r="10">
      <x:c r="A10" s="64" t="str">
        <x:v>var(b1)</x:v>
      </x:c>
      <x:c r="B10" s="97" t="n">
        <x:f>B7/B6</x:f>
        <x:v>1.0400210637177252e-7</x:v>
      </x:c>
      <x:c r="C10" s="87" t="str">
        <x:v>s²y/x / Sxx</x:v>
      </x:c>
    </x:row>
    <x:row r="11">
      <x:c r="A11" s="64" t="str">
        <x:v>var(b0)</x:v>
      </x:c>
      <x:c r="B11" s="97" t="n">
        <x:f>B7*(1/B3+B4^2/B6)</x:f>
        <x:v>6.257460066701667e-8</x:v>
      </x:c>
      <x:c r="C11" s="87" t="str">
        <x:v>s²y/x·(1/n + x̄²/Sxx)</x:v>
      </x:c>
    </x:row>
    <x:row r="12">
      <x:c r="A12" s="64" t="str">
        <x:v>cov(b0,b1)</x:v>
      </x:c>
      <x:c r="B12" s="97" t="n">
        <x:f>-B7*B4/B6</x:f>
        <x:v>-5.200105318588626e-8</x:v>
      </x:c>
      <x:c r="C12" s="87" t="str">
        <x:v>−s²y/x·x̄/Sxx</x:v>
      </x:c>
    </x:row>
    <x:row r="13">
      <x:c r="A13" s="66" t="str">
        <x:v>R²</x:v>
      </x:c>
      <x:c r="B13" s="99" t="n">
        <x:f>RSQ('Ввод'!F9:F108,'Ввод'!B9:B108)</x:f>
        <x:v>0.9999709481921686</x:v>
      </x:c>
      <x:c r="C13" s="89" t="str">
        <x:v>Для диагностики, не самостоятельный критерий пригодности модели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0" hidden="0" customWidth="1"/>
    <x:col min="3" max="3" width="50" hidden="0" customWidth="1"/>
  </x:cols>
  <x:sheetData>
    <x:row r="1">
      <x:c r="A1" s="3" t="str">
        <x:v>ПРОГНОЗИРОВАНИЕ И НЕОПРЕДЕЛЁННОСТЬ</x:v>
      </x:c>
      <x:c r="B1" s="3"/>
      <x:c r="C1" s="3"/>
    </x:row>
    <x:row r="2">
      <x:c r="A2" s="18" t="str">
        <x:v>Показатель</x:v>
      </x:c>
      <x:c r="B2" s="18" t="str">
        <x:v>Значение</x:v>
      </x:c>
      <x:c r="C2" s="18" t="str">
        <x:v>Комментарий</x:v>
      </x:c>
    </x:row>
    <x:row r="3">
      <x:c r="A3" s="60" t="str">
        <x:v>Предсказанная концентрация x_pred</x:v>
      </x:c>
      <x:c r="B3" s="121" t="n">
        <x:f>('Ввод'!B3-'Регрессия'!B9)/'Регрессия'!B8</x:f>
        <x:v>0.5442086112795633</x:v>
      </x:c>
      <x:c r="C3" s="86" t="str">
        <x:v>(y_obs − b0)/b1</x:v>
      </x:c>
    </x:row>
    <x:row r="4">
      <x:c r="A4" s="64" t="str">
        <x:v>Дисперсия среднего отклика пробы var(y_obs)</x:v>
      </x:c>
      <x:c r="B4" s="63" t="n">
        <x:f>'Регрессия'!B7/'Ввод'!B4</x:f>
        <x:v>1.0972222222222061e-7</x:v>
      </x:c>
      <x:c r="C4" s="87" t="str">
        <x:v>s²y/x / p</x:v>
      </x:c>
    </x:row>
    <x:row r="5">
      <x:c r="A5" s="122" t="str">
        <x:v>МЕТОД 1: КОВАРИАЦИОННЫЙ</x:v>
      </x:c>
      <x:c r="B5" s="114"/>
      <x:c r="C5" s="123" t="str"/>
    </x:row>
    <x:row r="6">
      <x:c r="A6" s="64" t="str">
        <x:v>u²(x_pred), ковариационный</x:v>
      </x:c>
      <x:c r="B6" s="63" t="n">
        <x:f>(B4+'Регрессия'!B11+B3^2*'Регрессия'!B10+2*B3*'Регрессия'!B12)/'Регрессия'!B8^2</x:f>
        <x:v>0.00000193953447846519</x:v>
      </x:c>
      <x:c r="C6" s="87" t="str">
        <x:v>Учитывает var(b0), var(b1), cov(b0,b1) и var(y_obs)</x:v>
      </x:c>
    </x:row>
    <x:row r="7">
      <x:c r="A7" s="122" t="str">
        <x:v>МЕТОД 2: КЛАССИЧЕСКИЙ</x:v>
      </x:c>
      <x:c r="B7" s="114"/>
      <x:c r="C7" s="123" t="str"/>
    </x:row>
    <x:row r="8">
      <x:c r="A8" s="64" t="str">
        <x:v>u²(x_pred), классический</x:v>
      </x:c>
      <x:c r="B8" s="63" t="n">
        <x:f>('Регрессия'!B7/'Регрессия'!B8^2)*(1/'Ввод'!B4+1/'Регрессия'!B3+(B3-'Регрессия'!B4)^2/'Регрессия'!B6)</x:f>
        <x:v>0.00000193953447846519</x:v>
      </x:c>
      <x:c r="C8" s="87" t="str">
        <x:v>Эквивалентная форма для линейной МНК-модели</x:v>
      </x:c>
    </x:row>
    <x:row r="9">
      <x:c r="A9" s="122" t="str">
        <x:v>УЧЁТ ЭТАЛОНОВ</x:v>
      </x:c>
      <x:c r="B9" s="114"/>
      <x:c r="C9" s="123" t="str"/>
    </x:row>
    <x:row r="10">
      <x:c r="A10" s="64" t="str">
        <x:v>Абсолютная u эталонов u(x_cal)</x:v>
      </x:c>
      <x:c r="B10" s="63" t="n">
        <x:f>ABS(B3)*'Ввод'!B5</x:f>
        <x:v>0.010884172225591267</x:v>
      </x:c>
      <x:c r="C10" s="87" t="str">
        <x:v>|x_pred|·u_rel</x:v>
      </x:c>
    </x:row>
    <x:row r="11">
      <x:c r="A11" s="64" t="str">
        <x:v>Суммарная стандартная u_c(x_pred)</x:v>
      </x:c>
      <x:c r="B11" s="63" t="n">
        <x:f>SQRT(B8+B10^2)</x:f>
        <x:v>0.010972909345966435</x:v>
      </x:c>
      <x:c r="C11" s="87" t="str">
        <x:v>sqrt[u²_reg + u²_ref]</x:v>
      </x:c>
    </x:row>
    <x:row r="12">
      <x:c r="A12" s="64" t="str">
        <x:v>Расширенная U (k=2)</x:v>
      </x:c>
      <x:c r="B12" s="63" t="n">
        <x:f>2*B11</x:f>
        <x:v>0.02194581869193287</x:v>
      </x:c>
      <x:c r="C12" s="87" t="str">
        <x:v>2·u_c</x:v>
      </x:c>
    </x:row>
    <x:row r="13">
      <x:c r="A13" s="64" t="str">
        <x:v>Относительная U</x:v>
      </x:c>
      <x:c r="B13" s="115" t="n">
        <x:f>IF(B3=0,NA(),B12/ABS(B3))</x:f>
        <x:v>0.04032611435591409</x:v>
      </x:c>
      <x:c r="C13" s="87" t="str">
        <x:v>U/|x_pred|</x:v>
      </x:c>
    </x:row>
    <x:row r="14">
      <x:c r="A14" s="64"/>
      <x:c r="B14" s="56"/>
      <x:c r="C14" s="87"/>
    </x:row>
    <x:row r="15">
      <x:c r="A15" s="124" t="str">
        <x:v>Контроль согласованности двух формул</x:v>
      </x:c>
      <x:c r="B15" s="116" t="n">
        <x:f>IFERROR(ABS(B6-B8)/MAX(ABS(B6),ABS(B8)),NA())</x:f>
        <x:v>0</x:v>
      </x:c>
      <x:c r="C15" s="125" t="str">
        <x:v>Относительное расхождение u²; должно быть близко к 0</x:v>
      </x:c>
    </x:row>
    <x:row r="16">
      <x:c r="A16" s="66" t="str">
        <x:v>Экстраполяция</x:v>
      </x:c>
      <x:c r="B16" s="88" t="b">
        <x:f>OR(B3&lt;MIN('Ввод'!B9:B108),B3&gt;MAX('Ввод'!B9:B108))</x:f>
        <x:v>0</x:v>
      </x:c>
      <x:c r="C16" s="89" t="str">
        <x:v>TRUE = x_pred вне калибровочного диапазона</x:v>
      </x:c>
    </x:row>
  </x:sheetData>
  <x:mergeCells>
    <x:mergeCell ref="A1:C1"/>
  </x:mergeCells>
  <x:conditionalFormatting sqref="B16:B16">
    <x:cfRule type="expression" dxfId="0" priority="1">
      <x:formula>B16=TRUE</x:formula>
    </x:cfRule>
    <x:cfRule type="expression" dxfId="1" priority="2">
      <x:formula>B16=FALSE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58" hidden="0" customWidth="1"/>
  </x:cols>
  <x:sheetData>
    <x:row r="1">
      <x:c r="A1" s="55" t="str">
        <x:v>АВТОМАТИЧЕСКАЯ ДИАГНОСТИКА МОДЕЛИ</x:v>
      </x:c>
      <x:c r="B1" s="55"/>
      <x:c r="C1" s="55"/>
      <x:c r="D1" s="55"/>
    </x:row>
    <x:row r="2">
      <x:c r="A2" s="18" t="str">
        <x:v>Проверка</x:v>
      </x:c>
      <x:c r="B2" s="18" t="str">
        <x:v>Результат</x:v>
      </x:c>
      <x:c r="C2" s="18" t="str">
        <x:v>Статус</x:v>
      </x:c>
      <x:c r="D2" s="18" t="str">
        <x:v>Комментарий</x:v>
      </x:c>
    </x:row>
    <x:row r="3">
      <x:c r="A3" s="60" t="str">
        <x:v>Достаточно степеней свободы</x:v>
      </x:c>
      <x:c r="B3" s="85" t="b">
        <x:f>'Регрессия'!B3&gt;2</x:f>
        <x:v>1</x:v>
      </x:c>
      <x:c r="C3" s="85" t="str">
        <x:f>IF(B3,"PASS","FAIL")</x:f>
        <x:v>PASS</x:v>
      </x:c>
      <x:c r="D3" s="86" t="str">
        <x:v>n &gt; 2 для оценки остаточной дисперсии</x:v>
      </x:c>
    </x:row>
    <x:row r="4">
      <x:c r="A4" s="64" t="str">
        <x:v>Sxx &gt; 0</x:v>
      </x:c>
      <x:c r="B4" s="83" t="b">
        <x:f>'Регрессия'!B6&gt;0</x:f>
        <x:v>1</x:v>
      </x:c>
      <x:c r="C4" s="83" t="str">
        <x:f>IF(B4,"PASS","FAIL")</x:f>
        <x:v>PASS</x:v>
      </x:c>
      <x:c r="D4" s="87" t="str">
        <x:v>Концентрации должны различаться</x:v>
      </x:c>
    </x:row>
    <x:row r="5">
      <x:c r="A5" s="64" t="str">
        <x:v>Наклон b1 ≠ 0</x:v>
      </x:c>
      <x:c r="B5" s="83" t="b">
        <x:f>ABS('Регрессия'!B8)&gt;1E-12</x:f>
        <x:v>1</x:v>
      </x:c>
      <x:c r="C5" s="83" t="str">
        <x:f>IF(B5,"PASS","FAIL")</x:f>
        <x:v>PASS</x:v>
      </x:c>
      <x:c r="D5" s="87" t="str">
        <x:v>Иначе обратное прогнозирование невозможно</x:v>
      </x:c>
    </x:row>
    <x:row r="6">
      <x:c r="A6" s="64" t="str">
        <x:v>Нет экстраполяции</x:v>
      </x:c>
      <x:c r="B6" s="83" t="b">
        <x:f>NOT('Неопределенность'!B16)</x:f>
        <x:v>1</x:v>
      </x:c>
      <x:c r="C6" s="83" t="str">
        <x:f>IF(B6,"PASS","FAIL")</x:f>
        <x:v>PASS</x:v>
      </x:c>
      <x:c r="D6" s="87" t="str">
        <x:v>x_pred находится внутри диапазона калибровки</x:v>
      </x:c>
    </x:row>
    <x:row r="7">
      <x:c r="A7" s="64" t="str">
        <x:v>Согласованность E3.3 / E3.5</x:v>
      </x:c>
      <x:c r="B7" s="83" t="b">
        <x:f>'Неопределенность'!B15&lt;1E-6</x:f>
        <x:v>1</x:v>
      </x:c>
      <x:c r="C7" s="83" t="str">
        <x:f>IF(B7,"PASS","FAIL")</x:f>
        <x:v>PASS</x:v>
      </x:c>
      <x:c r="D7" s="87" t="str">
        <x:v>Относительное расхождение &lt; 1E−6</x:v>
      </x:c>
    </x:row>
    <x:row r="8">
      <x:c r="A8" s="66" t="str">
        <x:v>R² ≥ 0.99</x:v>
      </x:c>
      <x:c r="B8" s="88" t="b">
        <x:f>'Регрессия'!B13&gt;=0.99</x:f>
        <x:v>1</x:v>
      </x:c>
      <x:c r="C8" s="88" t="str">
        <x:f>IF(B8,"PASS","FAIL")</x:f>
        <x:v>PASS</x:v>
      </x:c>
      <x:c r="D8" s="89" t="str">
        <x:v>Диагностический пользовательский порог; не универсальное требование EURACHEM</x:v>
      </x:c>
    </x:row>
  </x:sheetData>
  <x:mergeCells>
    <x:mergeCell ref="A1:D1"/>
  </x:mergeCells>
  <x:conditionalFormatting sqref="C3:C8">
    <x:cfRule type="expression" dxfId="2" priority="1">
      <x:formula>C3="PASS"</x:formula>
    </x:cfRule>
    <x:cfRule type="expression" dxfId="3" priority="2">
      <x:formula>C3="FAIL"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</x:cols>
  <x:sheetData>
    <x:row r="1">
      <x:c r="A1" s="3" t="str">
        <x:v>ИТОГ РАСЧЁТА</x:v>
      </x:c>
      <x:c r="B1" s="3"/>
      <x:c r="C1" s="3"/>
      <x:c r="D1" s="3"/>
    </x:row>
    <x:row r="3">
      <x:c r="A3" s="135" t="str">
        <x:v>Показатель</x:v>
      </x:c>
      <x:c r="B3" s="136" t="str">
        <x:v>Значение</x:v>
      </x:c>
    </x:row>
    <x:row r="4">
      <x:c r="A4" s="27" t="str">
        <x:v>x_pred</x:v>
      </x:c>
      <x:c r="B4" s="137" t="n">
        <x:f>'Неопределенность'!B3</x:f>
        <x:v>0.5442086112795633</x:v>
      </x:c>
    </x:row>
    <x:row r="5">
      <x:c r="A5" s="27" t="str">
        <x:v>u_c</x:v>
      </x:c>
      <x:c r="B5" s="137" t="n">
        <x:f>'Неопределенность'!B11</x:f>
        <x:v>0.010972909345966435</x:v>
      </x:c>
    </x:row>
    <x:row r="6">
      <x:c r="A6" s="27" t="str">
        <x:v>U (k=2)</x:v>
      </x:c>
      <x:c r="B6" s="137" t="n">
        <x:f>'Неопределенность'!B12</x:f>
        <x:v>0.02194581869193287</x:v>
      </x:c>
    </x:row>
    <x:row r="7">
      <x:c r="A7" s="27" t="str">
        <x:v>U, %</x:v>
      </x:c>
      <x:c r="B7" s="138" t="n">
        <x:f>'Неопределенность'!B13</x:f>
        <x:v>0.04032611435591409</x:v>
      </x:c>
    </x:row>
    <x:row r="8">
      <x:c r="A8" s="30" t="str">
        <x:v>Экстраполяция?</x:v>
      </x:c>
      <x:c r="B8" s="139" t="b">
        <x:f>'Неопределенность'!B16</x:f>
        <x:v>0</x:v>
      </x:c>
    </x:row>
  </x:sheetData>
  <x:mergeCells>
    <x:mergeCell ref="A1:D1"/>
  </x:mergeCells>
  <x:conditionalFormatting sqref="B8:B8">
    <x:cfRule type="expression" dxfId="4" priority="1">
      <x:formula>B8=TRUE</x:formula>
    </x:cfRule>
    <x:cfRule type="expression" dxfId="5" priority="2">
      <x:formula>B8=FALSE</x:formula>
    </x:cfRule>
  </x:conditionalFormatting>
  <x:pageMargins left="0.7" right="0.7" top="0.75" bottom="0.75" header="0.3" footer="0.3"/>
</x:worksheet>
</file>