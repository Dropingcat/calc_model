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495" yWindow="105" windowWidth="22950" windowHeight="13875" tabRatio="600" firstSheet="0" activeTab="4" autoFilterDateGrouping="1"/>
  </bookViews>
  <sheets>
    <sheet xmlns:r="http://schemas.openxmlformats.org/officeDocument/2006/relationships" name="О книге" sheetId="1" state="visible" r:id="rId1"/>
    <sheet xmlns:r="http://schemas.openxmlformats.org/officeDocument/2006/relationships" name="Ввод" sheetId="2" state="visible" r:id="rId2"/>
    <sheet xmlns:r="http://schemas.openxmlformats.org/officeDocument/2006/relationships" name="Расчёт" sheetId="3" state="visible" r:id="rId3"/>
    <sheet xmlns:r="http://schemas.openxmlformats.org/officeDocument/2006/relationships" name="Итог" sheetId="4" state="visible" r:id="rId4"/>
    <sheet xmlns:r="http://schemas.openxmlformats.org/officeDocument/2006/relationships" name="График" sheetId="5" state="visible" r:id="rId5"/>
    <sheet xmlns:r="http://schemas.openxmlformats.org/officeDocument/2006/relationships" name="Аудит_НД" sheetId="6" state="visible" r:id="rId6"/>
    <sheet xmlns:r="http://schemas.openxmlformats.org/officeDocument/2006/relationships" name="Техдолг" sheetId="7" state="visible" r:id="rId7"/>
    <sheet xmlns:r="http://schemas.openxmlformats.org/officeDocument/2006/relationships" name="Контракт_v313" sheetId="8" state="visible" r:id="rId8"/>
  </sheets>
  <definedNames>
    <definedName name="_xlnm._FilterDatabase" localSheetId="5" hidden="1">'Аудит_НД'!$A$1:$G$11</definedName>
    <definedName name="_xlnm._FilterDatabase" localSheetId="6" hidden="1">'Техдолг'!$A$1:$E$9</definedName>
  </definedNames>
  <calcPr calcId="181029" calcMode="auto" fullCalcOnLoad="1" forceFullCalc="1"/>
</workbook>
</file>

<file path=xl/styles.xml><?xml version="1.0" encoding="utf-8"?>
<styleSheet xmlns="http://schemas.openxmlformats.org/spreadsheetml/2006/main">
  <numFmts count="3">
    <numFmt numFmtId="164" formatCode="0.000"/>
    <numFmt numFmtId="165" formatCode="0.0"/>
    <numFmt numFmtId="166" formatCode="0.0000"/>
  </numFmts>
  <fonts count="7">
    <font>
      <name val="Calibri"/>
      <family val="2"/>
      <color theme="1"/>
      <sz val="11"/>
      <scheme val="minor"/>
    </font>
    <font>
      <name val="Calibri"/>
      <charset val="204"/>
      <family val="2"/>
      <b val="1"/>
      <sz val="11"/>
    </font>
    <font>
      <name val="Calibri"/>
      <charset val="204"/>
      <family val="2"/>
      <i val="1"/>
      <color rgb="FF7F6000"/>
      <sz val="9"/>
    </font>
    <font>
      <name val="Calibri"/>
      <charset val="204"/>
      <family val="2"/>
      <b val="1"/>
      <sz val="11"/>
    </font>
    <font>
      <name val="Calibri"/>
      <charset val="204"/>
      <family val="2"/>
      <b val="1"/>
      <sz val="11"/>
    </font>
    <font>
      <name val="Calibri"/>
      <charset val="204"/>
      <family val="2"/>
      <i val="1"/>
      <color rgb="FF7F6000"/>
      <sz val="9"/>
    </font>
    <font>
      <b val="1"/>
    </font>
  </fonts>
  <fills count="12">
    <fill>
      <patternFill/>
    </fill>
    <fill>
      <patternFill patternType="gray125"/>
    </fill>
    <fill>
      <patternFill patternType="solid">
        <fgColor rgb="FF4F81BD"/>
      </patternFill>
    </fill>
    <fill>
      <patternFill patternType="solid">
        <fgColor rgb="FFFFEB9C"/>
      </patternFill>
    </fill>
    <fill>
      <patternFill patternType="solid">
        <fgColor rgb="FFE2EFDA"/>
      </patternFill>
    </fill>
    <fill>
      <patternFill patternType="solid">
        <fgColor rgb="FFDDEBF7"/>
      </patternFill>
    </fill>
    <fill>
      <patternFill patternType="solid">
        <fgColor rgb="FFFFF2CC"/>
      </patternFill>
    </fill>
    <fill>
      <patternFill patternType="solid">
        <fgColor rgb="FF4F81BD"/>
      </patternFill>
    </fill>
    <fill>
      <patternFill patternType="solid">
        <fgColor rgb="FFFFEB9C"/>
      </patternFill>
    </fill>
    <fill>
      <patternFill patternType="solid">
        <fgColor rgb="FFE2EFDA"/>
      </patternFill>
    </fill>
    <fill>
      <patternFill patternType="solid">
        <fgColor rgb="FFDDEBF7"/>
      </patternFill>
    </fill>
    <fill>
      <patternFill patternType="solid">
        <fgColor rgb="FFE4DFEC"/>
      </patternFill>
    </fill>
  </fills>
  <borders count="4">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style="thin">
        <color rgb="FFB7B7B7"/>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2" borderId="1" pivotButton="0" quotePrefix="0" xfId="0"/>
    <xf numFmtId="0" fontId="0" fillId="0" borderId="1" pivotButton="0" quotePrefix="0" xfId="0"/>
    <xf numFmtId="0" fontId="1" fillId="3" borderId="1" pivotButton="0" quotePrefix="0" xfId="0"/>
    <xf numFmtId="0" fontId="0" fillId="3" borderId="1" pivotButton="0" quotePrefix="0" xfId="0"/>
    <xf numFmtId="0" fontId="0" fillId="4" borderId="1" pivotButton="0" quotePrefix="0" xfId="0"/>
    <xf numFmtId="0" fontId="0" fillId="5" borderId="1" pivotButton="0" quotePrefix="0" xfId="0"/>
    <xf numFmtId="0" fontId="1" fillId="5" borderId="1" pivotButton="0" quotePrefix="0" xfId="0"/>
    <xf numFmtId="164" fontId="0" fillId="5" borderId="1" pivotButton="0" quotePrefix="0" xfId="0"/>
    <xf numFmtId="0" fontId="2" fillId="3" borderId="1" pivotButton="0" quotePrefix="0" xfId="0"/>
    <xf numFmtId="0" fontId="3" fillId="6" borderId="2" pivotButton="0" quotePrefix="0" xfId="0"/>
    <xf numFmtId="0" fontId="4" fillId="6" borderId="2" pivotButton="0" quotePrefix="0" xfId="0"/>
    <xf numFmtId="0" fontId="3" fillId="7" borderId="2" pivotButton="0" quotePrefix="0" xfId="0"/>
    <xf numFmtId="165" fontId="0" fillId="9" borderId="2" pivotButton="0" quotePrefix="0" xfId="0"/>
    <xf numFmtId="165" fontId="0" fillId="10" borderId="2" pivotButton="0" quotePrefix="0" xfId="0"/>
    <xf numFmtId="2" fontId="0" fillId="10" borderId="2" pivotButton="0" quotePrefix="0" xfId="0"/>
    <xf numFmtId="0" fontId="0" fillId="10" borderId="2" pivotButton="0" quotePrefix="0" xfId="0"/>
    <xf numFmtId="0" fontId="5" fillId="8" borderId="2" pivotButton="0" quotePrefix="0" xfId="0"/>
    <xf numFmtId="0" fontId="4" fillId="11" borderId="2" pivotButton="0" quotePrefix="0" xfId="0"/>
    <xf numFmtId="164" fontId="0" fillId="10" borderId="2" pivotButton="0" quotePrefix="0" xfId="0"/>
    <xf numFmtId="0" fontId="3" fillId="11" borderId="2" pivotButton="0" quotePrefix="0" xfId="0"/>
    <xf numFmtId="166" fontId="0" fillId="10" borderId="2" pivotButton="0" quotePrefix="0" xfId="0"/>
    <xf numFmtId="0" fontId="3" fillId="8" borderId="2" pivotButton="0" quotePrefix="0" xfId="0"/>
    <xf numFmtId="0" fontId="6" fillId="0" borderId="3" applyAlignment="1" pivotButton="0" quotePrefix="0" xfId="0">
      <alignment vertical="top" wrapText="1"/>
    </xf>
    <xf numFmtId="0" fontId="0" fillId="0" borderId="3" applyAlignment="1" pivotButton="0" quotePrefix="0" xfId="0">
      <alignment vertical="top" wrapText="1"/>
    </xf>
  </cellXfs>
  <cellStyles count="1">
    <cellStyle name="Обычный" xfId="0" builtinId="0"/>
  </cellStyles>
  <dxfs count="1">
    <dxf>
      <font>
        <b val="1"/>
      </font>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Ветка 1 — дистилляция </a:t>
            </a:r>
            <a:r>
              <a:rPr lang="en-US"/>
              <a:t xml:space="preserve">D86: </a:t>
            </a:r>
            <a:r>
              <a:rPr lang="ru-RU"/>
              <a:t xml:space="preserve">эксперимент </a:t>
            </a:r>
            <a:r>
              <a:rPr lang="en-US"/>
              <a:t xml:space="preserve">vs </a:t>
            </a:r>
            <a:r>
              <a:rPr lang="ru-RU"/>
              <a:t xml:space="preserve">полином, </a:t>
            </a:r>
            <a:r>
              <a:rPr lang="en-US"/>
              <a:t>R² = '</a:t>
            </a:r>
            <a:r>
              <a:rPr lang="ru-RU"/>
              <a:t>Расчёт'!</a:t>
            </a:r>
            <a:r>
              <a:rPr lang="en-US"/>
              <a:t>B75</a:t>
            </a:r>
          </a:p>
        </rich>
      </tx>
      <overlay val="1"/>
    </title>
    <plotArea>
      <layout/>
      <lineChart>
        <grouping val="standard"/>
        <varyColors val="1"/>
        <ser>
          <idx val="0"/>
          <order val="0"/>
          <tx>
            <strRef>
              <f>График!$B$3</f>
              <strCache>
                <ptCount val="1"/>
                <pt idx="0">
                  <v>T_corr (эксперимент)</v>
                </pt>
              </strCache>
            </strRef>
          </tx>
          <spPr>
            <a:ln xmlns:a="http://schemas.openxmlformats.org/drawingml/2006/main">
              <a:prstDash val="solid"/>
            </a:ln>
          </spPr>
          <marker>
            <symbol val="none"/>
            <spPr>
              <a:ln xmlns:a="http://schemas.openxmlformats.org/drawingml/2006/main">
                <a:prstDash val="solid"/>
              </a:ln>
            </spPr>
          </marker>
          <cat>
            <numRef>
              <f>График!$A$4:$A$24</f>
              <numCache>
                <formatCode>General</formatCode>
                <ptCount val="21"/>
                <pt idx="0">
                  <v>0</v>
                </pt>
                <pt idx="1">
                  <v>5</v>
                </pt>
                <pt idx="2">
                  <v>10</v>
                </pt>
                <pt idx="3">
                  <v>15</v>
                </pt>
                <pt idx="4">
                  <v>20</v>
                </pt>
                <pt idx="5">
                  <v>25</v>
                </pt>
                <pt idx="6">
                  <v>30</v>
                </pt>
                <pt idx="7">
                  <v>35</v>
                </pt>
                <pt idx="8">
                  <v>40</v>
                </pt>
                <pt idx="9">
                  <v>45</v>
                </pt>
                <pt idx="10">
                  <v>50</v>
                </pt>
                <pt idx="11">
                  <v>55</v>
                </pt>
                <pt idx="12">
                  <v>60</v>
                </pt>
                <pt idx="13">
                  <v>65</v>
                </pt>
                <pt idx="14">
                  <v>70</v>
                </pt>
                <pt idx="15">
                  <v>75</v>
                </pt>
                <pt idx="16">
                  <v>80</v>
                </pt>
                <pt idx="17">
                  <v>85</v>
                </pt>
                <pt idx="18">
                  <v>90</v>
                </pt>
                <pt idx="19">
                  <v>95</v>
                </pt>
                <pt idx="20">
                  <v>100</v>
                </pt>
              </numCache>
            </numRef>
          </cat>
          <val>
            <numRef>
              <f>График!$B$4:$B$24</f>
              <numCache>
                <formatCode>General</formatCode>
                <ptCount val="21"/>
                <pt idx="0">
                  <v>162.5</v>
                </pt>
                <pt idx="1">
                  <v>191</v>
                </pt>
                <pt idx="2">
                  <v>204.5</v>
                </pt>
                <pt idx="3">
                  <v>210.5</v>
                </pt>
                <pt idx="4">
                  <v>228</v>
                </pt>
                <pt idx="5">
                  <v>235.5</v>
                </pt>
                <pt idx="6">
                  <v>244.5</v>
                </pt>
                <pt idx="7">
                  <v>250.5</v>
                </pt>
                <pt idx="8">
                  <v>257</v>
                </pt>
                <pt idx="9">
                  <v>262.5</v>
                </pt>
                <pt idx="10">
                  <v>269.5</v>
                </pt>
                <pt idx="11">
                  <v>274.5</v>
                </pt>
                <pt idx="12">
                  <v>281</v>
                </pt>
                <pt idx="13">
                  <v>287.5</v>
                </pt>
                <pt idx="14">
                  <v>294.5</v>
                </pt>
                <pt idx="15">
                  <v>300.5</v>
                </pt>
                <pt idx="16">
                  <v>310</v>
                </pt>
                <pt idx="17">
                  <v>318.5</v>
                </pt>
                <pt idx="18">
                  <v>330.5</v>
                </pt>
                <pt idx="19">
                  <v>346</v>
                </pt>
                <pt idx="20">
                  <v>355.5</v>
                </pt>
              </numCache>
            </numRef>
          </val>
          <smooth val="1"/>
        </ser>
        <ser>
          <idx val="1"/>
          <order val="1"/>
          <tx>
            <strRef>
              <f>График!$C$3</f>
              <strCache>
                <ptCount val="1"/>
                <pt idx="0">
                  <v>T_полином (аппроксимация)</v>
                </pt>
              </strCache>
            </strRef>
          </tx>
          <spPr>
            <a:ln xmlns:a="http://schemas.openxmlformats.org/drawingml/2006/main">
              <a:prstDash val="solid"/>
            </a:ln>
          </spPr>
          <marker>
            <symbol val="none"/>
            <spPr>
              <a:ln xmlns:a="http://schemas.openxmlformats.org/drawingml/2006/main">
                <a:prstDash val="solid"/>
              </a:ln>
            </spPr>
          </marker>
          <val>
            <numRef>
              <f>График!$C$4:$C$24</f>
              <numCache>
                <formatCode>General</formatCode>
                <ptCount val="21"/>
                <pt idx="0">
                  <v>168.0530773574252</v>
                </pt>
                <pt idx="1">
                  <v>185.6188594014681</v>
                </pt>
                <pt idx="2">
                  <v>200.9057772890725</v>
                </pt>
                <pt idx="3">
                  <v>214.152337365152</v>
                </pt>
                <pt idx="4">
                  <v>225.5970459746203</v>
                </pt>
                <pt idx="5">
                  <v>235.4784094623911</v>
                </pt>
                <pt idx="6">
                  <v>244.0349341733781</v>
                </pt>
                <pt idx="7">
                  <v>251.5051264524949</v>
                </pt>
                <pt idx="8">
                  <v>258.1274926446551</v>
                </pt>
                <pt idx="9">
                  <v>264.1405390947725</v>
                </pt>
                <pt idx="10">
                  <v>269.7827721477607</v>
                </pt>
                <pt idx="11">
                  <v>275.2926981485334</v>
                </pt>
                <pt idx="12">
                  <v>280.9088234420042</v>
                </pt>
                <pt idx="13">
                  <v>286.8696543730869</v>
                </pt>
                <pt idx="14">
                  <v>293.413697286695</v>
                </pt>
                <pt idx="15">
                  <v>300.7794585277423</v>
                </pt>
                <pt idx="16">
                  <v>309.2054444411424</v>
                </pt>
                <pt idx="17">
                  <v>318.930161371809</v>
                </pt>
                <pt idx="18">
                  <v>330.1921156646557</v>
                </pt>
                <pt idx="19">
                  <v>343.2298136645962</v>
                </pt>
                <pt idx="20">
                  <v>358.2817617165443</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ru-RU"/>
                  <a:t>Объём отгона, %</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in val="0"/>
        </scaling>
        <delete val="1"/>
        <axPos val="l"/>
        <majorGridlines/>
        <title>
          <tx>
            <rich>
              <a:bodyPr xmlns:a="http://schemas.openxmlformats.org/drawingml/2006/main"/>
              <a:lstStyle xmlns:a="http://schemas.openxmlformats.org/drawingml/2006/main"/>
              <a:p xmlns:a="http://schemas.openxmlformats.org/drawingml/2006/main">
                <a:pPr>
                  <a:defRPr/>
                </a:pPr>
                <a:r>
                  <a:rPr lang="ru-RU"/>
                  <a:t>Температура, °</a:t>
                </a:r>
                <a:r>
                  <a:rPr lang="en-US"/>
                  <a:t>C</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Ветка 2 — </a:t>
            </a:r>
            <a:r>
              <a:rPr lang="en-US"/>
              <a:t>T_</a:t>
            </a:r>
            <a:r>
              <a:rPr lang="ru-RU"/>
              <a:t xml:space="preserve">НД (из НД, при 760) </a:t>
            </a:r>
            <a:r>
              <a:rPr lang="en-US"/>
              <a:t>vs V</a:t>
            </a:r>
            <a:r>
              <a:rPr lang="ru-RU"/>
              <a:t xml:space="preserve">ср, </a:t>
            </a:r>
            <a:r>
              <a:rPr lang="en-US"/>
              <a:t>R² = '</a:t>
            </a:r>
            <a:r>
              <a:rPr lang="ru-RU"/>
              <a:t>Расчёт'!</a:t>
            </a:r>
            <a:r>
              <a:rPr lang="en-US"/>
              <a:t>B102</a:t>
            </a:r>
          </a:p>
        </rich>
      </tx>
      <overlay val="1"/>
    </title>
    <plotArea>
      <layout/>
      <lineChart>
        <grouping val="standard"/>
        <varyColors val="1"/>
        <ser>
          <idx val="0"/>
          <order val="0"/>
          <tx>
            <strRef>
              <f>График!$F$3</f>
              <strCache>
                <ptCount val="1"/>
                <pt idx="0">
                  <v>T_НД, °C (из НД, при 760)</v>
                </pt>
              </strCache>
            </strRef>
          </tx>
          <spPr>
            <a:ln xmlns:a="http://schemas.openxmlformats.org/drawingml/2006/main">
              <a:prstDash val="solid"/>
            </a:ln>
          </spPr>
          <marker>
            <symbol val="none"/>
            <spPr>
              <a:ln xmlns:a="http://schemas.openxmlformats.org/drawingml/2006/main">
                <a:prstDash val="solid"/>
              </a:ln>
            </spPr>
          </marker>
          <cat>
            <strRef>
              <f>График!$E$4:$E$24</f>
              <strCache>
                <ptCount val="5"/>
                <pt idx="0">
                  <v>4,5</v>
                </pt>
                <pt idx="1">
                  <v>6,5</v>
                </pt>
                <pt idx="2">
                  <v>9,5</v>
                </pt>
                <pt idx="3">
                  <v>13,5</v>
                </pt>
                <pt idx="4">
                  <v>17,5</v>
                </pt>
              </strCache>
            </strRef>
          </cat>
          <val>
            <numRef>
              <f>График!$F$4:$F$24</f>
              <numCache>
                <formatCode>General</formatCode>
                <ptCount val="21"/>
                <pt idx="0">
                  <v>150</v>
                </pt>
                <pt idx="1">
                  <v>200</v>
                </pt>
                <pt idx="2">
                  <v>250</v>
                </pt>
                <pt idx="3">
                  <v>300</v>
                </pt>
                <pt idx="4">
                  <v>350</v>
                </pt>
                <pt idx="5">
                  <v>0</v>
                </pt>
                <pt idx="6">
                  <v>0</v>
                </pt>
                <pt idx="7">
                  <v>0</v>
                </pt>
                <pt idx="8">
                  <v>0</v>
                </pt>
                <pt idx="9">
                  <v>0</v>
                </pt>
                <pt idx="10">
                  <v>0</v>
                </pt>
                <pt idx="11">
                  <v>0</v>
                </pt>
                <pt idx="12">
                  <v>0</v>
                </pt>
                <pt idx="13">
                  <v>0</v>
                </pt>
                <pt idx="14">
                  <v>0</v>
                </pt>
                <pt idx="15">
                  <v>0</v>
                </pt>
                <pt idx="16">
                  <v>0</v>
                </pt>
                <pt idx="17">
                  <v>0</v>
                </pt>
                <pt idx="18">
                  <v>0</v>
                </pt>
                <pt idx="19">
                  <v>0</v>
                </pt>
                <pt idx="20">
                  <v>0</v>
                </pt>
              </numCache>
            </numRef>
          </val>
          <smooth val="1"/>
        </ser>
        <ser>
          <idx val="1"/>
          <order val="1"/>
          <tx>
            <strRef>
              <f>График!$G$3</f>
              <strCache>
                <ptCount val="1"/>
                <pt idx="0">
                  <v>T_полином Ветки 2 (аппроксимация)</v>
                </pt>
              </strCache>
            </strRef>
          </tx>
          <spPr>
            <a:ln xmlns:a="http://schemas.openxmlformats.org/drawingml/2006/main">
              <a:prstDash val="solid"/>
            </a:ln>
          </spPr>
          <marker>
            <symbol val="none"/>
            <spPr>
              <a:ln xmlns:a="http://schemas.openxmlformats.org/drawingml/2006/main">
                <a:prstDash val="solid"/>
              </a:ln>
            </spPr>
          </marker>
          <val>
            <numRef>
              <f>График!$G$4:$G$24</f>
              <numCache>
                <formatCode>General</formatCode>
                <ptCount val="2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V</a:t>
                </a:r>
                <a:r>
                  <a:rPr lang="ru-RU"/>
                  <a:t>ср, % (по двум параллелям)</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ru-RU"/>
                  <a:t>Температура, °</a:t>
                </a:r>
                <a:r>
                  <a:rPr lang="en-US"/>
                  <a:t>C (T_</a:t>
                </a:r>
                <a:r>
                  <a:rPr lang="ru-RU"/>
                  <a:t>НД, при 760)</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omments/comment1.xml><?xml version="1.0" encoding="utf-8"?>
<comments xmlns="http://schemas.openxmlformats.org/spreadsheetml/2006/main">
  <authors>
    <author>Normative audit</author>
  </authors>
  <commentList>
    <comment ref="A1" authorId="0" shapeId="0">
      <text>
        <t>ASTM D86-23: барометр должен измерять local station pressure с точностью 0,1 kPa (1 mm Hg) или лучше; показание не следует заменять sea-level corrected pressure.</t>
      </text>
    </comment>
  </commentList>
</comments>
</file>

<file path=xl/comments/comment2.xml><?xml version="1.0" encoding="utf-8"?>
<comments xmlns="http://schemas.openxmlformats.org/spreadsheetml/2006/main">
  <authors>
    <author>автоматизация</author>
  </authors>
  <commentList>
    <comment ref="A27" authorId="0" shapeId="0">
      <text>
        <t>Введите температуру из НД (нормируемую при 760 мм рт.ст.) ЧИСЛОМ.
Пример: 150 → T_фикс покажет, какую температуру ФИКСИРОВАТЬ на термометре при текущем давлении, чтобы получить 150 при 760.</t>
      </text>
    </comment>
    <comment ref="A28" authorId="0" shapeId="0">
      <text>
        <t>Введите температуру из НД (нормируемую при 760 мм рт.ст.) ЧИСЛОМ.
Пример: 150 → T_фикс покажет, какую температуру ФИКСИРОВАТЬ на термометре при текущем давлении, чтобы получить 150 при 760.</t>
      </text>
    </comment>
    <comment ref="A29" authorId="0" shapeId="0">
      <text>
        <t>Введите температуру из НД (нормируемую при 760 мм рт.ст.) ЧИСЛОМ.
Пример: 150 → T_фикс покажет, какую температуру ФИКСИРОВАТЬ на термометре при текущем давлении, чтобы получить 150 при 760.</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4</col>
      <colOff>0</colOff>
      <row>27</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51</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70" customWidth="1" min="2" max="2"/>
  </cols>
  <sheetData>
    <row r="1">
      <c r="A1" s="1" t="inlineStr">
        <is>
          <t>Книга</t>
        </is>
      </c>
      <c r="B1" s="2" t="inlineStr">
        <is>
          <t>ASTM D86 расчёт (группы 1-4)</t>
        </is>
      </c>
    </row>
    <row r="2">
      <c r="A2" s="1" t="inlineStr">
        <is>
          <t>Версия</t>
        </is>
      </c>
      <c r="B2" s="2" t="inlineStr">
        <is>
          <t>3.12.0</t>
        </is>
      </c>
    </row>
    <row r="3">
      <c r="A3" s="1" t="inlineStr">
        <is>
          <t>Дата генерации</t>
        </is>
      </c>
      <c r="B3" s="2" t="inlineStr">
        <is>
          <t>2026-10-07</t>
        </is>
      </c>
    </row>
    <row r="4">
      <c r="A4" s="1" t="inlineStr">
        <is>
          <t>Стандарт</t>
        </is>
      </c>
      <c r="B4" s="2" t="inlineStr">
        <is>
          <t>ASTM D86-23 (active edition listed by ASTM)</t>
        </is>
      </c>
    </row>
    <row r="5">
      <c r="A5" s="1" t="inlineStr">
        <is>
          <t>Метод</t>
        </is>
      </c>
      <c r="B5" s="2" t="inlineStr">
        <is>
          <t>Определение фракционного состава при атмосферном давлении</t>
        </is>
      </c>
    </row>
    <row r="6">
      <c r="A6" s="1" t="inlineStr">
        <is>
          <t>Источник расчёта</t>
        </is>
      </c>
      <c r="B6" s="2" t="inlineStr">
        <is>
          <t>fraction_lib (Python)</t>
        </is>
      </c>
    </row>
    <row r="7">
      <c r="A7" s="1" t="inlineStr">
        <is>
          <t>Автор/Разработчик</t>
        </is>
      </c>
      <c r="B7" s="2" t="inlineStr">
        <is>
          <t>лаборатория (заполнить)</t>
        </is>
      </c>
    </row>
    <row r="8">
      <c r="A8" s="1" t="inlineStr">
        <is>
          <t>Проверил</t>
        </is>
      </c>
      <c r="B8" s="2" t="n"/>
    </row>
    <row r="9">
      <c r="A9" s="1" t="inlineStr">
        <is>
          <t>Утвердил</t>
        </is>
      </c>
      <c r="B9" s="2" t="n"/>
    </row>
    <row r="10">
      <c r="A10" s="1" t="inlineStr">
        <is>
          <t>Примечание</t>
        </is>
      </c>
      <c r="B10" s="2" t="inlineStr">
        <is>
          <t>Книга генерируется скриптом — правки вручную не вносить</t>
        </is>
      </c>
    </row>
    <row r="11">
      <c r="A11" s="3" t="inlineStr">
        <is>
          <t>Политика пустых ячеек (TD-007)</t>
        </is>
      </c>
      <c r="B11" s="4" t="inlineStr">
        <is>
          <t>Пустая ячейка = не введено (НЕ РАССЧИТАНО). Ошибка формулы = ошибка расчёта. Статус контроля: НЕ РАССЧИТАНО / OK / НЕ СООТВЕТСТВУЕТ.</t>
        </is>
      </c>
    </row>
    <row r="12">
      <c r="A12" s="3" t="inlineStr">
        <is>
          <t>Критерий K (ГСО)</t>
        </is>
      </c>
      <c r="B12" s="4" t="inlineStr">
        <is>
          <t>K = (1/√2)·√(R² − r²/2) — из свидетельства на ГСО, НЕ изменять</t>
        </is>
      </c>
    </row>
    <row r="13">
      <c r="A13" s="3" t="inlineStr">
        <is>
          <t>Коэффициент 0,84 (ОК)</t>
        </is>
      </c>
      <c r="B13" s="4" t="inlineStr">
        <is>
          <t>Аудит 2026-10-07: workbook-level correction against ASTM D86-23; generator/source synchronization remains a tech debt item.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6" customWidth="1" min="1" max="1"/>
    <col width="12" customWidth="1" min="2" max="3"/>
    <col width="14" customWidth="1" min="4" max="4"/>
  </cols>
  <sheetData>
    <row r="1">
      <c r="A1" s="1" t="inlineStr">
        <is>
          <t>Атмосферное давление, мм рт.ст.</t>
        </is>
      </c>
      <c r="B1" s="5" t="n">
        <v>755</v>
      </c>
      <c r="C1" s="1" t="inlineStr">
        <is>
          <t>Группа (1-4)</t>
        </is>
      </c>
      <c r="D1" s="5" t="n">
        <v>4</v>
      </c>
      <c r="F1" s="1" t="inlineStr">
        <is>
          <t>Объём образца, мл</t>
        </is>
      </c>
      <c r="G1" s="5" t="n">
        <v>100</v>
      </c>
    </row>
    <row r="3">
      <c r="A3" s="1" t="inlineStr">
        <is>
          <t>% отгона</t>
        </is>
      </c>
      <c r="B3" s="1" t="inlineStr">
        <is>
          <t>V, мл</t>
        </is>
      </c>
      <c r="C3" s="1" t="inlineStr">
        <is>
          <t>T1, °C</t>
        </is>
      </c>
      <c r="D3" s="1" t="inlineStr">
        <is>
          <t>T2, °C</t>
        </is>
      </c>
      <c r="E3" s="1" t="inlineStr">
        <is>
          <t>Потери, %</t>
        </is>
      </c>
      <c r="F3" s="1" t="inlineStr">
        <is>
          <t>Остаток, %</t>
        </is>
      </c>
      <c r="G3" s="1" t="inlineStr">
        <is>
          <t>Отгон, %</t>
        </is>
      </c>
    </row>
    <row r="4">
      <c r="A4" s="6">
        <f>IF(ISNUMBER(B4),ROUND(B4/$G$1*100,1),"НК")</f>
        <v/>
      </c>
      <c r="B4" s="5" t="n">
        <v>0</v>
      </c>
      <c r="C4" s="5" t="n">
        <v>161.75</v>
      </c>
      <c r="D4" s="5" t="n">
        <v>161.75</v>
      </c>
    </row>
    <row r="5">
      <c r="A5" s="6">
        <f>IF(ISNUMBER(B5),ROUND(B5/$G$1*100,1),"5")</f>
        <v/>
      </c>
      <c r="B5" s="5" t="n">
        <v>5</v>
      </c>
      <c r="C5" s="5" t="n">
        <v>190.5</v>
      </c>
      <c r="D5" s="5" t="n">
        <v>190.5</v>
      </c>
    </row>
    <row r="6">
      <c r="A6" s="6">
        <f>IF(ISNUMBER(B6),ROUND(B6/$G$1*100,1),"10")</f>
        <v/>
      </c>
      <c r="B6" s="5" t="n">
        <v>10</v>
      </c>
      <c r="C6" s="5" t="n">
        <v>203.75</v>
      </c>
      <c r="D6" s="5" t="n">
        <v>203.75</v>
      </c>
    </row>
    <row r="7">
      <c r="A7" s="6">
        <f>IF(ISNUMBER(B7),ROUND(B7/$G$1*100,1),"15")</f>
        <v/>
      </c>
      <c r="B7" s="5" t="n">
        <v>15</v>
      </c>
      <c r="C7" s="5" t="n">
        <v>210</v>
      </c>
      <c r="D7" s="5" t="n">
        <v>210</v>
      </c>
    </row>
    <row r="8">
      <c r="A8" s="6">
        <f>IF(ISNUMBER(B8),ROUND(B8/$G$1*100,1),"20")</f>
        <v/>
      </c>
      <c r="B8" s="5" t="n">
        <v>20</v>
      </c>
      <c r="C8" s="5" t="n">
        <v>227.5</v>
      </c>
      <c r="D8" s="5" t="n">
        <v>227.5</v>
      </c>
    </row>
    <row r="9">
      <c r="A9" s="6">
        <f>IF(ISNUMBER(B9),ROUND(B9/$G$1*100,1),"25")</f>
        <v/>
      </c>
      <c r="B9" s="5" t="n">
        <v>25</v>
      </c>
      <c r="C9" s="5" t="n">
        <v>235</v>
      </c>
      <c r="D9" s="5" t="n">
        <v>235</v>
      </c>
    </row>
    <row r="10">
      <c r="A10" s="6">
        <f>IF(ISNUMBER(B10),ROUND(B10/$G$1*100,1),"30")</f>
        <v/>
      </c>
      <c r="B10" s="5" t="n">
        <v>30</v>
      </c>
      <c r="C10" s="5" t="n">
        <v>244</v>
      </c>
      <c r="D10" s="5" t="n">
        <v>244</v>
      </c>
    </row>
    <row r="11">
      <c r="A11" s="6">
        <f>IF(ISNUMBER(B11),ROUND(B11/$G$1*100,1),"35")</f>
        <v/>
      </c>
      <c r="B11" s="5" t="n">
        <v>35</v>
      </c>
      <c r="C11" s="5" t="n">
        <v>250</v>
      </c>
      <c r="D11" s="5" t="n">
        <v>250</v>
      </c>
    </row>
    <row r="12">
      <c r="A12" s="6">
        <f>IF(ISNUMBER(B12),ROUND(B12/$G$1*100,1),"40")</f>
        <v/>
      </c>
      <c r="B12" s="5" t="n">
        <v>40</v>
      </c>
      <c r="C12" s="5" t="n">
        <v>256.5</v>
      </c>
      <c r="D12" s="5" t="n">
        <v>256.5</v>
      </c>
    </row>
    <row r="13">
      <c r="A13" s="6">
        <f>IF(ISNUMBER(B13),ROUND(B13/$G$1*100,1),"45")</f>
        <v/>
      </c>
      <c r="B13" s="5" t="n">
        <v>45</v>
      </c>
      <c r="C13" s="5" t="n">
        <v>262</v>
      </c>
      <c r="D13" s="5" t="n">
        <v>262</v>
      </c>
    </row>
    <row r="14">
      <c r="A14" s="6">
        <f>IF(ISNUMBER(B14),ROUND(B14/$G$1*100,1),"50")</f>
        <v/>
      </c>
      <c r="B14" s="5" t="n">
        <v>50</v>
      </c>
      <c r="C14" s="5" t="n">
        <v>268.75</v>
      </c>
      <c r="D14" s="5" t="n">
        <v>268.75</v>
      </c>
    </row>
    <row r="15">
      <c r="A15" s="6">
        <f>IF(ISNUMBER(B15),ROUND(B15/$G$1*100,1),"55")</f>
        <v/>
      </c>
      <c r="B15" s="5" t="n">
        <v>55</v>
      </c>
      <c r="C15" s="5" t="n">
        <v>274</v>
      </c>
      <c r="D15" s="5" t="n">
        <v>274</v>
      </c>
    </row>
    <row r="16">
      <c r="A16" s="6">
        <f>IF(ISNUMBER(B16),ROUND(B16/$G$1*100,1),"60")</f>
        <v/>
      </c>
      <c r="B16" s="5" t="n">
        <v>60</v>
      </c>
      <c r="C16" s="5" t="n">
        <v>280.5</v>
      </c>
      <c r="D16" s="5" t="n">
        <v>280.5</v>
      </c>
    </row>
    <row r="17">
      <c r="A17" s="6">
        <f>IF(ISNUMBER(B17),ROUND(B17/$G$1*100,1),"65")</f>
        <v/>
      </c>
      <c r="B17" s="5" t="n">
        <v>65</v>
      </c>
      <c r="C17" s="5" t="n">
        <v>287</v>
      </c>
      <c r="D17" s="5" t="n">
        <v>287</v>
      </c>
    </row>
    <row r="18">
      <c r="A18" s="6">
        <f>IF(ISNUMBER(B18),ROUND(B18/$G$1*100,1),"70")</f>
        <v/>
      </c>
      <c r="B18" s="5" t="n">
        <v>70</v>
      </c>
      <c r="C18" s="5" t="n">
        <v>293.75</v>
      </c>
      <c r="D18" s="5" t="n">
        <v>293.75</v>
      </c>
    </row>
    <row r="19">
      <c r="A19" s="6">
        <f>IF(ISNUMBER(B19),ROUND(B19/$G$1*100,1),"75")</f>
        <v/>
      </c>
      <c r="B19" s="5" t="n">
        <v>75</v>
      </c>
      <c r="C19" s="5" t="n">
        <v>300</v>
      </c>
      <c r="D19" s="5" t="n">
        <v>300</v>
      </c>
    </row>
    <row r="20">
      <c r="A20" s="6">
        <f>IF(ISNUMBER(B20),ROUND(B20/$G$1*100,1),"80")</f>
        <v/>
      </c>
      <c r="B20" s="5" t="n">
        <v>80</v>
      </c>
      <c r="C20" s="5" t="n">
        <v>309.25</v>
      </c>
      <c r="D20" s="5" t="n">
        <v>309.25</v>
      </c>
    </row>
    <row r="21">
      <c r="A21" s="6">
        <f>IF(ISNUMBER(B21),ROUND(B21/$G$1*100,1),"85")</f>
        <v/>
      </c>
      <c r="B21" s="5" t="n">
        <v>85</v>
      </c>
      <c r="C21" s="5" t="n">
        <v>318</v>
      </c>
      <c r="D21" s="5" t="n">
        <v>318</v>
      </c>
    </row>
    <row r="22">
      <c r="A22" s="6">
        <f>IF(ISNUMBER(B22),ROUND(B22/$G$1*100,1),"90")</f>
        <v/>
      </c>
      <c r="B22" s="5" t="n">
        <v>90</v>
      </c>
      <c r="C22" s="5" t="n">
        <v>329.75</v>
      </c>
      <c r="D22" s="5" t="n">
        <v>329.75</v>
      </c>
    </row>
    <row r="23">
      <c r="A23" s="6">
        <f>IF(ISNUMBER(B23),ROUND(B23/$G$1*100,1),"95")</f>
        <v/>
      </c>
      <c r="B23" s="5" t="n">
        <v>95</v>
      </c>
      <c r="C23" s="5" t="n">
        <v>345.25</v>
      </c>
      <c r="D23" s="5" t="n">
        <v>345.25</v>
      </c>
    </row>
    <row r="24">
      <c r="A24" s="6">
        <f>IF(ISNUMBER(B24),ROUND(B24/$G$1*100,1),"КК")</f>
        <v/>
      </c>
      <c r="B24" s="5" t="n">
        <v>100</v>
      </c>
      <c r="C24" s="5" t="n">
        <v>355</v>
      </c>
      <c r="D24" s="5" t="n">
        <v>355</v>
      </c>
    </row>
    <row r="25">
      <c r="E25" s="5" t="n">
        <v>0.5</v>
      </c>
      <c r="F25" s="5" t="n">
        <v>1.5</v>
      </c>
      <c r="G25" s="6">
        <f>100-E25-F25</f>
        <v/>
      </c>
    </row>
    <row r="26">
      <c r="A26" s="3" t="inlineStr">
        <is>
          <t>Проверка входных данных:</t>
        </is>
      </c>
    </row>
    <row r="28">
      <c r="A28" s="7" t="inlineStr">
        <is>
          <t>Монотонность 1% -&gt; 2%</t>
        </is>
      </c>
      <c r="B28" s="6">
        <f>IF(OR(ISBLANK(C4),ISBLANK(C5)),"",IF(C5&gt;=B4,"OK","НАРУШЕНА"))</f>
        <v/>
      </c>
    </row>
    <row r="29">
      <c r="A29" s="7" t="inlineStr">
        <is>
          <t>Монотонность 2% -&gt; 3%</t>
        </is>
      </c>
      <c r="B29" s="6">
        <f>IF(OR(ISBLANK(C5),ISBLANK(C6)),"",IF(C6&gt;=B5,"OK","НАРУШЕНА"))</f>
        <v/>
      </c>
    </row>
    <row r="30">
      <c r="A30" s="7" t="inlineStr">
        <is>
          <t>Монотонность 3% -&gt; 4%</t>
        </is>
      </c>
      <c r="B30" s="6">
        <f>IF(OR(ISBLANK(C6),ISBLANK(C7)),"",IF(C7&gt;=B6,"OK","НАРУШЕНА"))</f>
        <v/>
      </c>
    </row>
    <row r="31">
      <c r="A31" s="7" t="inlineStr">
        <is>
          <t>Монотонность 4% -&gt; 5%</t>
        </is>
      </c>
      <c r="B31" s="6">
        <f>IF(OR(ISBLANK(C7),ISBLANK(C8)),"",IF(C8&gt;=B7,"OK","НАРУШЕНА"))</f>
        <v/>
      </c>
    </row>
    <row r="32">
      <c r="A32" s="7" t="inlineStr">
        <is>
          <t>Монотонность 5% -&gt; 6%</t>
        </is>
      </c>
      <c r="B32" s="6">
        <f>IF(OR(ISBLANK(C8),ISBLANK(C9)),"",IF(C9&gt;=B8,"OK","НАРУШЕНА"))</f>
        <v/>
      </c>
    </row>
    <row r="33">
      <c r="A33" s="7" t="inlineStr">
        <is>
          <t>Монотонность 6% -&gt; 7%</t>
        </is>
      </c>
      <c r="B33" s="6">
        <f>IF(OR(ISBLANK(C9),ISBLANK(C10)),"",IF(C10&gt;=B9,"OK","НАРУШЕНА"))</f>
        <v/>
      </c>
    </row>
    <row r="34">
      <c r="A34" s="7" t="inlineStr">
        <is>
          <t>Монотонность 7% -&gt; 8%</t>
        </is>
      </c>
      <c r="B34" s="6">
        <f>IF(OR(ISBLANK(C10),ISBLANK(C11)),"",IF(C11&gt;=B10,"OK","НАРУШЕНА"))</f>
        <v/>
      </c>
    </row>
    <row r="35">
      <c r="A35" s="7" t="inlineStr">
        <is>
          <t>Монотонность 8% -&gt; 9%</t>
        </is>
      </c>
      <c r="B35" s="6">
        <f>IF(OR(ISBLANK(C11),ISBLANK(C12)),"",IF(C12&gt;=B11,"OK","НАРУШЕНА"))</f>
        <v/>
      </c>
    </row>
    <row r="36">
      <c r="A36" s="7" t="inlineStr">
        <is>
          <t>Монотонность 9% -&gt; 10%</t>
        </is>
      </c>
      <c r="B36" s="6">
        <f>IF(OR(ISBLANK(C12),ISBLANK(C13)),"",IF(C13&gt;=B12,"OK","НАРУШЕНА"))</f>
        <v/>
      </c>
    </row>
    <row r="37">
      <c r="A37" s="7" t="inlineStr">
        <is>
          <t>Монотонность 10% -&gt; 11%</t>
        </is>
      </c>
      <c r="B37" s="6">
        <f>IF(OR(ISBLANK(C13),ISBLANK(C14)),"",IF(C14&gt;=B13,"OK","НАРУШЕНА"))</f>
        <v/>
      </c>
    </row>
    <row r="38">
      <c r="A38" s="7" t="inlineStr">
        <is>
          <t>Монотонность 11% -&gt; 12%</t>
        </is>
      </c>
      <c r="B38" s="6">
        <f>IF(OR(ISBLANK(C14),ISBLANK(C15)),"",IF(C15&gt;=B14,"OK","НАРУШЕНА"))</f>
        <v/>
      </c>
    </row>
    <row r="39">
      <c r="A39" s="7" t="inlineStr">
        <is>
          <t>Монотонность 12% -&gt; 13%</t>
        </is>
      </c>
      <c r="B39" s="6">
        <f>IF(OR(ISBLANK(C15),ISBLANK(C16)),"",IF(C16&gt;=B15,"OK","НАРУШЕНА"))</f>
        <v/>
      </c>
    </row>
    <row r="40">
      <c r="A40" s="7" t="inlineStr">
        <is>
          <t>Монотонность 13% -&gt; 14%</t>
        </is>
      </c>
      <c r="B40" s="6">
        <f>IF(OR(ISBLANK(C16),ISBLANK(C17)),"",IF(C17&gt;=B16,"OK","НАРУШЕНА"))</f>
        <v/>
      </c>
    </row>
    <row r="41">
      <c r="A41" s="7" t="inlineStr">
        <is>
          <t>Баланс (отгон+потери+остаток)</t>
        </is>
      </c>
      <c r="B41" s="6">
        <f>IF(ABS(A24+E25+F25-100)&lt;0.2,"OK","НАРУШЕН")</f>
        <v/>
      </c>
    </row>
    <row r="42">
      <c r="A42" s="7" t="inlineStr">
        <is>
          <t>Примечание: пустые температуры не нарушение</t>
        </is>
      </c>
      <c r="B42" s="6">
        <f>IF(OR(ISBLANK(C18),ISBLANK(C19)),"",IF(C19&gt;=B18,"OK","НАРУШЕНА"))</f>
        <v/>
      </c>
    </row>
    <row r="43">
      <c r="A43" s="7" t="inlineStr">
        <is>
          <t>Монотонность 16% -&gt; 17%</t>
        </is>
      </c>
      <c r="B43" s="6">
        <f>IF(OR(ISBLANK(C19),ISBLANK(C20)),"",IF(C20&gt;=B19,"OK","НАРУШЕНА"))</f>
        <v/>
      </c>
    </row>
    <row r="44">
      <c r="A44" s="7" t="inlineStr">
        <is>
          <t>Монотонность 17% -&gt; 18%</t>
        </is>
      </c>
      <c r="B44" s="6">
        <f>IF(OR(ISBLANK(C20),ISBLANK(C21)),"",IF(C21&gt;=B20,"OK","НАРУШЕНА"))</f>
        <v/>
      </c>
    </row>
    <row r="45">
      <c r="A45" s="7" t="inlineStr">
        <is>
          <t>Монотонность 18% -&gt; 19%</t>
        </is>
      </c>
      <c r="B45" s="6">
        <f>IF(OR(ISBLANK(C21),ISBLANK(C22)),"",IF(C22&gt;=B21,"OK","НАРУШЕНА"))</f>
        <v/>
      </c>
    </row>
    <row r="46">
      <c r="A46" s="7" t="inlineStr">
        <is>
          <t>Монотонность 19% -&gt; 20%</t>
        </is>
      </c>
      <c r="B46" s="6">
        <f>IF(OR(ISBLANK(C22),ISBLANK(C23)),"",IF(C23&gt;=B22,"OK","НАРУШЕНА"))</f>
        <v/>
      </c>
    </row>
    <row r="47">
      <c r="A47" s="7" t="inlineStr">
        <is>
          <t>Монотонность 20% -&gt; 21%</t>
        </is>
      </c>
      <c r="B47" s="6">
        <f>IF(OR(ISBLANK(C23),ISBLANK(C24)),"",IF(C24&gt;=B23,"OK","НАРУШЕНА"))</f>
        <v/>
      </c>
    </row>
  </sheetData>
  <dataValidations count="4">
    <dataValidation sqref="B1" showDropDown="0" showInputMessage="0" showErrorMessage="1" allowBlank="0" errorTitle="Ошибка ввода" error="Давление вне диапазона 500-850 мм рт.ст." type="whole">
      <formula1>500</formula1>
      <formula2>850</formula2>
    </dataValidation>
    <dataValidation sqref="C4 C5 C6 C7 C8 C9 C10 C11 C12 C13 C14 C15 C16 C17 C18 C19 C20 C21 C22 C23 C24 D4 D5 D6 D7 D8 D9 D10 D11 D12 D13 D14 D15 D16 D17 D18 D19 D20 D21 D22 D23 D24" showDropDown="0" showInputMessage="0" showErrorMessage="1" allowBlank="1" error="Температура вне диапазона 0-500°C" type="decimal">
      <formula1>0</formula1>
      <formula2>500</formula2>
    </dataValidation>
    <dataValidation sqref="E25 F25" showDropDown="0" showInputMessage="0" showErrorMessage="1" allowBlank="1" error="Потери вне диапазона 0.0-5.0%" type="decimal">
      <formula1>0</formula1>
      <formula2>5</formula2>
    </dataValidation>
    <dataValidation sqref="D1" showDropDown="0" showInputMessage="0" showErrorMessage="0" allowBlank="0" errorTitle="Недопустимая группа" error="Группа должна быть 1, 2, 3 или 4 по ASTM D86." type="whole" operator="between">
      <formula1>1</formula1>
      <formula2>4</formula2>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Q104"/>
  <sheetViews>
    <sheetView topLeftCell="A65" workbookViewId="0">
      <selection activeCell="B83" sqref="B83"/>
    </sheetView>
  </sheetViews>
  <sheetFormatPr baseColWidth="8" defaultRowHeight="15"/>
  <sheetData>
    <row r="1">
      <c r="A1" s="1" t="inlineStr">
        <is>
          <t>% отгона</t>
        </is>
      </c>
      <c r="B1" s="1" t="inlineStr">
        <is>
          <t>T1</t>
        </is>
      </c>
      <c r="C1" s="1" t="inlineStr">
        <is>
          <t>T2</t>
        </is>
      </c>
      <c r="D1" s="1" t="inlineStr">
        <is>
          <t>Хср</t>
        </is>
      </c>
      <c r="E1" s="1" t="inlineStr">
        <is>
          <t>Поправка Янга</t>
        </is>
      </c>
      <c r="F1" s="1" t="inlineStr">
        <is>
          <t>T_corr</t>
        </is>
      </c>
      <c r="G1" s="1" t="inlineStr">
        <is>
          <t>Потери (защ.)</t>
        </is>
      </c>
      <c r="H1" s="1" t="inlineStr">
        <is>
          <t>|T1-T2|</t>
        </is>
      </c>
      <c r="I1" s="1" t="inlineStr">
        <is>
          <t>r</t>
        </is>
      </c>
      <c r="J1" s="1" t="inlineStr">
        <is>
          <t>R</t>
        </is>
      </c>
      <c r="K1" s="1" t="inlineStr">
        <is>
          <t>K (ГСО)</t>
        </is>
      </c>
      <c r="L1" s="1" t="inlineStr">
        <is>
          <t>0.84R (ОК)</t>
        </is>
      </c>
      <c r="M1" s="1" t="inlineStr">
        <is>
          <t>Крутизна S</t>
        </is>
      </c>
      <c r="N1" s="1" t="inlineStr">
        <is>
          <t>Статус</t>
        </is>
      </c>
      <c r="O1" s="1" t="inlineStr">
        <is>
          <t>% выпаривания (Pe)</t>
        </is>
      </c>
      <c r="Q1" s="10" t="inlineStr">
        <is>
          <t>ВЕТКА 1 — ЗАДАНЫ ОБЪЁМЫ (выпаривание): % отгона → T1/T2 → поправка давления → T_corr (приведена к 760). Ввод: T1/T2 и объёмы в «Ввод» (зелёные ячейки), Ввод!$G$1 = объём образца, мл.</t>
        </is>
      </c>
    </row>
    <row r="2">
      <c r="A2" s="2" t="n">
        <v>0</v>
      </c>
      <c r="B2" s="6">
        <f>Ввод!C4</f>
        <v/>
      </c>
      <c r="C2" s="6">
        <f>Ввод!D4</f>
        <v/>
      </c>
      <c r="D2" s="6">
        <f>IF(OR(ISBLANK(B2),ISBLANK(C2)),B2,MROUND((B2+C2)/2,0.5))</f>
        <v/>
      </c>
      <c r="E2" s="6">
        <f>0.00012*(760-Ввод!$B$1)*(273+D2)</f>
        <v/>
      </c>
      <c r="F2" s="6">
        <f>IF(ISBLANK(D2),"",MROUND(D2+E2,0.5))</f>
        <v/>
      </c>
      <c r="G2" s="8">
        <f>IF(ISNUMBER(Ввод!$B$1),0.5+(Ввод!E25-0.5)/(1+(760-Ввод!$B$1)/60),"")</f>
        <v/>
      </c>
      <c r="H2" s="6">
        <f>IF(OR(ISBLANK(B2),ISBLANK(C2)),"",ABS(B2-C2))</f>
        <v/>
      </c>
      <c r="I2" s="6">
        <f>IF(Ввод!$D$1=1,3.3,0.35*M2+1)</f>
        <v/>
      </c>
      <c r="J2" s="6">
        <f>IF(Ввод!$D$1=1,5.6,0.93*M2+2.8)</f>
        <v/>
      </c>
      <c r="K2" s="6">
        <f>(1/SQRT(2))*SQRT(J2^2-I2^2/2)</f>
        <v/>
      </c>
      <c r="L2" s="6">
        <f>0.84*J2</f>
        <v/>
      </c>
      <c r="M2" s="6">
        <f>IF(OR(ISBLANK(F2),ISBLANK(F3)),"",ABS(F3-F2)/5)</f>
        <v/>
      </c>
      <c r="N2" s="6">
        <f>IF(OR(ISBLANK(B2),ISBLANK(C2)),"НЕ РАССЧИТАНО",IF(AND(ISNUMBER(H2),ISNUMBER(I2)),IF(H2&lt;=I2,"OK","НЕ СООТВЕТСТВУЕТ"),"НЕ РАССЧИТАНО"))</f>
        <v/>
      </c>
      <c r="O2" s="6">
        <f>IF(ISNUMBER(A2),IF(Ввод!$D$1=1,ROUND(A2+G2,1),A2),"")</f>
        <v/>
      </c>
    </row>
    <row r="3">
      <c r="A3" s="2" t="n">
        <v>5</v>
      </c>
      <c r="B3" s="6">
        <f>Ввод!C5</f>
        <v/>
      </c>
      <c r="C3" s="6">
        <f>Ввод!D5</f>
        <v/>
      </c>
      <c r="D3" s="6">
        <f>IF(OR(ISBLANK(B3),ISBLANK(C3)),B3,MROUND((B3+C3)/2,0.5))</f>
        <v/>
      </c>
      <c r="E3" s="6">
        <f>0.00012*(760-Ввод!$B$1)*(273+D3)</f>
        <v/>
      </c>
      <c r="F3" s="6">
        <f>IF(ISBLANK(D3),"",MROUND(D3+E3,0.5))</f>
        <v/>
      </c>
      <c r="G3" s="6">
        <f>IF(ISNUMBER(Ввод!$B$1),0.5+(Ввод!E25-0.5)/(1+(760-Ввод!$B$1)/60),"")</f>
        <v/>
      </c>
      <c r="H3" s="6">
        <f>IF(OR(ISBLANK(B3),ISBLANK(C3)),"",ABS(B3-C3))</f>
        <v/>
      </c>
      <c r="I3" s="6">
        <f>IF(Ввод!$D$1=1,1.9+0.86*M3,1+0.41*M3)</f>
        <v/>
      </c>
      <c r="J3" s="6">
        <f>IF(Ввод!$D$1=1,3.1+1.74*M3,1.8+1.33*M3)</f>
        <v/>
      </c>
      <c r="K3" s="6">
        <f>(1/SQRT(2))*SQRT(J3^2-I3^2/2)</f>
        <v/>
      </c>
      <c r="L3" s="6">
        <f>0.84*J3</f>
        <v/>
      </c>
      <c r="M3" s="6">
        <f>IF(OR(ISBLANK(F2),ISBLANK(F4)),"",ABS(F4-F2)/(A4-A2))</f>
        <v/>
      </c>
      <c r="N3" s="6">
        <f>IF(OR(ISBLANK(B3),ISBLANK(C3)),"НЕ РАССЧИТАНО",IF(AND(ISNUMBER(H3),ISNUMBER(I3)),IF(H3&lt;=I3,"OK","НЕ СООТВЕТСТВУЕТ"),"НЕ РАССЧИТАНО"))</f>
        <v/>
      </c>
      <c r="O3" s="6">
        <f>IF(ISNUMBER(A3),IF(Ввод!$D$1=1,ROUND(A3+G3,1),A3),"")</f>
        <v/>
      </c>
    </row>
    <row r="4">
      <c r="A4" s="2" t="n">
        <v>10</v>
      </c>
      <c r="B4" s="6">
        <f>Ввод!C6</f>
        <v/>
      </c>
      <c r="C4" s="6">
        <f>Ввод!D6</f>
        <v/>
      </c>
      <c r="D4" s="6">
        <f>IF(OR(ISBLANK(B4),ISBLANK(C4)),B4,MROUND((B4+C4)/2,0.5))</f>
        <v/>
      </c>
      <c r="E4" s="6">
        <f>0.00012*(760-Ввод!$B$1)*(273+D4)</f>
        <v/>
      </c>
      <c r="F4" s="6">
        <f>IF(ISBLANK(D4),"",MROUND(D4+E4,0.5))</f>
        <v/>
      </c>
      <c r="G4" s="6">
        <f>IF(ISNUMBER(Ввод!$B$1),0.5+(Ввод!E25-0.5)/(1+(760-Ввод!$B$1)/60),"")</f>
        <v/>
      </c>
      <c r="H4" s="6">
        <f>IF(OR(ISBLANK(B4),ISBLANK(C4)),"",ABS(B4-C4))</f>
        <v/>
      </c>
      <c r="I4" s="6">
        <f>IF(Ввод!$D$1=1,1.2+0.86*M4,1+0.41*M4)</f>
        <v/>
      </c>
      <c r="J4" s="6">
        <f>IF(Ввод!$D$1=1,2+1.74*M4,1.8+1.33*M4)</f>
        <v/>
      </c>
      <c r="K4" s="6">
        <f>(1/SQRT(2))*SQRT(J4^2-I4^2/2)</f>
        <v/>
      </c>
      <c r="L4" s="6">
        <f>0.84*J4</f>
        <v/>
      </c>
      <c r="M4" s="6">
        <f>IF(OR(ISBLANK(F3),ISBLANK(F5)),"",ABS(F5-F3)/(A5-A3))</f>
        <v/>
      </c>
      <c r="N4" s="6">
        <f>IF(OR(ISBLANK(B4),ISBLANK(C4)),"НЕ РАССЧИТАНО",IF(AND(ISNUMBER(H4),ISNUMBER(I4)),IF(H4&lt;=I4,"OK","НЕ СООТВЕТСТВУЕТ"),"НЕ РАССЧИТАНО"))</f>
        <v/>
      </c>
      <c r="O4" s="6">
        <f>IF(ISNUMBER(A4),IF(Ввод!$D$1=1,ROUND(A4+G4,1),A4),"")</f>
        <v/>
      </c>
    </row>
    <row r="5">
      <c r="A5" s="2" t="n">
        <v>15</v>
      </c>
      <c r="B5" s="6">
        <f>Ввод!C7</f>
        <v/>
      </c>
      <c r="C5" s="6">
        <f>Ввод!D7</f>
        <v/>
      </c>
      <c r="D5" s="6">
        <f>IF(OR(ISBLANK(B5),ISBLANK(C5)),B5,MROUND((B5+C5)/2,0.5))</f>
        <v/>
      </c>
      <c r="E5" s="6">
        <f>0.00012*(760-Ввод!$B$1)*(273+D5)</f>
        <v/>
      </c>
      <c r="F5" s="6">
        <f>IF(ISBLANK(D5),"",MROUND(D5+E5,0.5))</f>
        <v/>
      </c>
      <c r="G5" s="6">
        <f>IF(ISNUMBER(Ввод!$B$1),0.5+(Ввод!E25-0.5)/(1+(760-Ввод!$B$1)/60),"")</f>
        <v/>
      </c>
      <c r="H5" s="6">
        <f>IF(OR(ISBLANK(B5),ISBLANK(C5)),"",ABS(B5-C5))</f>
        <v/>
      </c>
      <c r="I5" s="6">
        <f>IF(Ввод!$D$1=1,1.2+0.86*M5,1+0.41*M5)</f>
        <v/>
      </c>
      <c r="J5" s="6">
        <f>IF(Ввод!$D$1=1,2+1.74*M5,1.8+1.33*M5)</f>
        <v/>
      </c>
      <c r="K5" s="6">
        <f>(1/SQRT(2))*SQRT(J5^2-I5^2/2)</f>
        <v/>
      </c>
      <c r="L5" s="6">
        <f>0.84*J5</f>
        <v/>
      </c>
      <c r="M5" s="6">
        <f>IF(OR(ISBLANK(F4),ISBLANK(F6)),"",ABS(F6-F4)/(A6-A4))</f>
        <v/>
      </c>
      <c r="N5" s="6">
        <f>IF(OR(ISBLANK(B5),ISBLANK(C5)),"НЕ РАССЧИТАНО",IF(AND(ISNUMBER(H5),ISNUMBER(I5)),IF(H5&lt;=I5,"OK","НЕ СООТВЕТСТВУЕТ"),"НЕ РАССЧИТАНО"))</f>
        <v/>
      </c>
      <c r="O5" s="6">
        <f>IF(ISNUMBER(A5),IF(Ввод!$D$1=1,ROUND(A5+G5,1),A5),"")</f>
        <v/>
      </c>
    </row>
    <row r="6">
      <c r="A6" s="2" t="n">
        <v>20</v>
      </c>
      <c r="B6" s="6">
        <f>Ввод!C8</f>
        <v/>
      </c>
      <c r="C6" s="6">
        <f>Ввод!D8</f>
        <v/>
      </c>
      <c r="D6" s="6">
        <f>IF(OR(ISBLANK(B6),ISBLANK(C6)),B6,MROUND((B6+C6)/2,0.5))</f>
        <v/>
      </c>
      <c r="E6" s="6">
        <f>0.00012*(760-Ввод!$B$1)*(273+D6)</f>
        <v/>
      </c>
      <c r="F6" s="6">
        <f>IF(ISBLANK(D6),"",MROUND(D6+E6,0.5))</f>
        <v/>
      </c>
      <c r="G6" s="6">
        <f>IF(ISNUMBER(Ввод!$B$1),0.5+(Ввод!E25-0.5)/(1+(760-Ввод!$B$1)/60),"")</f>
        <v/>
      </c>
      <c r="H6" s="6">
        <f>IF(OR(ISBLANK(B6),ISBLANK(C6)),"",ABS(B6-C6))</f>
        <v/>
      </c>
      <c r="I6" s="6">
        <f>IF(Ввод!$D$1=1,1.2+0.86*M6,1+0.41*M6)</f>
        <v/>
      </c>
      <c r="J6" s="6">
        <f>IF(Ввод!$D$1=1,2+1.74*M6,1.8+1.33*M6)</f>
        <v/>
      </c>
      <c r="K6" s="6">
        <f>(1/SQRT(2))*SQRT(J6^2-I6^2/2)</f>
        <v/>
      </c>
      <c r="L6" s="6">
        <f>0.84*J6</f>
        <v/>
      </c>
      <c r="M6" s="6">
        <f>IF(OR(ISBLANK(F5),ISBLANK(F7)),"",ABS(F7-F5)/(A7-A5))</f>
        <v/>
      </c>
      <c r="N6" s="6">
        <f>IF(OR(ISBLANK(B6),ISBLANK(C6)),"НЕ РАССЧИТАНО",IF(AND(ISNUMBER(H6),ISNUMBER(I6)),IF(H6&lt;=I6,"OK","НЕ СООТВЕТСТВУЕТ"),"НЕ РАССЧИТАНО"))</f>
        <v/>
      </c>
      <c r="O6" s="6">
        <f>IF(ISNUMBER(A6),IF(Ввод!$D$1=1,ROUND(A6+G6,1),A6),"")</f>
        <v/>
      </c>
    </row>
    <row r="7">
      <c r="A7" s="2" t="n">
        <v>25</v>
      </c>
      <c r="B7" s="6">
        <f>Ввод!C9</f>
        <v/>
      </c>
      <c r="C7" s="6">
        <f>Ввод!D9</f>
        <v/>
      </c>
      <c r="D7" s="6">
        <f>IF(OR(ISBLANK(B7),ISBLANK(C7)),B7,MROUND((B7+C7)/2,0.5))</f>
        <v/>
      </c>
      <c r="E7" s="6">
        <f>0.00012*(760-Ввод!$B$1)*(273+D7)</f>
        <v/>
      </c>
      <c r="F7" s="6">
        <f>IF(ISBLANK(D7),"",MROUND(D7+E7,0.5))</f>
        <v/>
      </c>
      <c r="G7" s="6">
        <f>IF(ISNUMBER(Ввод!$B$1),0.5+(Ввод!E25-0.5)/(1+(760-Ввод!$B$1)/60),"")</f>
        <v/>
      </c>
      <c r="H7" s="6">
        <f>IF(OR(ISBLANK(B7),ISBLANK(C7)),"",ABS(B7-C7))</f>
        <v/>
      </c>
      <c r="I7" s="6">
        <f>IF(Ввод!$D$1=1,1.2+0.86*M7,1+0.41*M7)</f>
        <v/>
      </c>
      <c r="J7" s="6">
        <f>IF(Ввод!$D$1=1,2+1.74*M7,1.8+1.33*M7)</f>
        <v/>
      </c>
      <c r="K7" s="6">
        <f>(1/SQRT(2))*SQRT(J7^2-I7^2/2)</f>
        <v/>
      </c>
      <c r="L7" s="6">
        <f>0.84*J7</f>
        <v/>
      </c>
      <c r="M7" s="6">
        <f>IF(OR(ISBLANK(F6),ISBLANK(F8)),"",ABS(F8-F6)/(A8-A6))</f>
        <v/>
      </c>
      <c r="N7" s="6">
        <f>IF(OR(ISBLANK(B7),ISBLANK(C7)),"НЕ РАССЧИТАНО",IF(AND(ISNUMBER(H7),ISNUMBER(I7)),IF(H7&lt;=I7,"OK","НЕ СООТВЕТСТВУЕТ"),"НЕ РАССЧИТАНО"))</f>
        <v/>
      </c>
      <c r="O7" s="6">
        <f>IF(ISNUMBER(A7),IF(Ввод!$D$1=1,ROUND(A7+G7,1),A7),"")</f>
        <v/>
      </c>
    </row>
    <row r="8">
      <c r="A8" s="2" t="n">
        <v>30</v>
      </c>
      <c r="B8" s="6">
        <f>Ввод!C10</f>
        <v/>
      </c>
      <c r="C8" s="6">
        <f>Ввод!D10</f>
        <v/>
      </c>
      <c r="D8" s="6">
        <f>IF(OR(ISBLANK(B8),ISBLANK(C8)),B8,MROUND((B8+C8)/2,0.5))</f>
        <v/>
      </c>
      <c r="E8" s="6">
        <f>0.00012*(760-Ввод!$B$1)*(273+D8)</f>
        <v/>
      </c>
      <c r="F8" s="6">
        <f>IF(ISBLANK(D8),"",MROUND(D8+E8,0.5))</f>
        <v/>
      </c>
      <c r="G8" s="6">
        <f>IF(ISNUMBER(Ввод!$B$1),0.5+(Ввод!E25-0.5)/(1+(760-Ввод!$B$1)/60),"")</f>
        <v/>
      </c>
      <c r="H8" s="6">
        <f>IF(OR(ISBLANK(B8),ISBLANK(C8)),"",ABS(B8-C8))</f>
        <v/>
      </c>
      <c r="I8" s="6">
        <f>IF(Ввод!$D$1=1,1.2+0.86*M8,1+0.41*M8)</f>
        <v/>
      </c>
      <c r="J8" s="6">
        <f>IF(Ввод!$D$1=1,2+1.74*M8,1.8+1.33*M8)</f>
        <v/>
      </c>
      <c r="K8" s="6">
        <f>(1/SQRT(2))*SQRT(J8^2-I8^2/2)</f>
        <v/>
      </c>
      <c r="L8" s="6">
        <f>0.84*J8</f>
        <v/>
      </c>
      <c r="M8" s="6">
        <f>IF(OR(ISBLANK(F7),ISBLANK(F9)),"",ABS(F9-F7)/(A9-A7))</f>
        <v/>
      </c>
      <c r="N8" s="6">
        <f>IF(OR(ISBLANK(B8),ISBLANK(C8)),"НЕ РАССЧИТАНО",IF(AND(ISNUMBER(H8),ISNUMBER(I8)),IF(H8&lt;=I8,"OK","НЕ СООТВЕТСТВУЕТ"),"НЕ РАССЧИТАНО"))</f>
        <v/>
      </c>
      <c r="O8" s="6">
        <f>IF(ISNUMBER(A8),IF(Ввод!$D$1=1,ROUND(A8+G8,1),A8),"")</f>
        <v/>
      </c>
    </row>
    <row r="9">
      <c r="A9" s="2" t="n">
        <v>35</v>
      </c>
      <c r="B9" s="6">
        <f>Ввод!C11</f>
        <v/>
      </c>
      <c r="C9" s="6">
        <f>Ввод!D11</f>
        <v/>
      </c>
      <c r="D9" s="6">
        <f>IF(OR(ISBLANK(B9),ISBLANK(C9)),B9,MROUND((B9+C9)/2,0.5))</f>
        <v/>
      </c>
      <c r="E9" s="6">
        <f>0.00012*(760-Ввод!$B$1)*(273+D9)</f>
        <v/>
      </c>
      <c r="F9" s="6">
        <f>IF(ISBLANK(D9),"",MROUND(D9+E9,0.5))</f>
        <v/>
      </c>
      <c r="G9" s="6">
        <f>IF(ISNUMBER(Ввод!$B$1),0.5+(Ввод!E25-0.5)/(1+(760-Ввод!$B$1)/60),"")</f>
        <v/>
      </c>
      <c r="H9" s="6">
        <f>IF(OR(ISBLANK(B9),ISBLANK(C9)),"",ABS(B9-C9))</f>
        <v/>
      </c>
      <c r="I9" s="6">
        <f>IF(Ввод!$D$1=1,1.2+0.86*M9,1+0.41*M9)</f>
        <v/>
      </c>
      <c r="J9" s="6">
        <f>IF(Ввод!$D$1=1,2+1.74*M9,1.8+1.33*M9)</f>
        <v/>
      </c>
      <c r="K9" s="6">
        <f>(1/SQRT(2))*SQRT(J9^2-I9^2/2)</f>
        <v/>
      </c>
      <c r="L9" s="6">
        <f>0.84*J9</f>
        <v/>
      </c>
      <c r="M9" s="6">
        <f>IF(OR(ISBLANK(F8),ISBLANK(F10)),"",ABS(F10-F8)/(A10-A8))</f>
        <v/>
      </c>
      <c r="N9" s="6">
        <f>IF(OR(ISBLANK(B9),ISBLANK(C9)),"НЕ РАССЧИТАНО",IF(AND(ISNUMBER(H9),ISNUMBER(I9)),IF(H9&lt;=I9,"OK","НЕ СООТВЕТСТВУЕТ"),"НЕ РАССЧИТАНО"))</f>
        <v/>
      </c>
      <c r="O9" s="6">
        <f>IF(ISNUMBER(A9),IF(Ввод!$D$1=1,ROUND(A9+G9,1),A9),"")</f>
        <v/>
      </c>
    </row>
    <row r="10">
      <c r="A10" s="2" t="n">
        <v>40</v>
      </c>
      <c r="B10" s="6">
        <f>Ввод!C12</f>
        <v/>
      </c>
      <c r="C10" s="6">
        <f>Ввод!D12</f>
        <v/>
      </c>
      <c r="D10" s="6">
        <f>IF(OR(ISBLANK(B10),ISBLANK(C10)),B10,MROUND((B10+C10)/2,0.5))</f>
        <v/>
      </c>
      <c r="E10" s="6">
        <f>0.00012*(760-Ввод!$B$1)*(273+D10)</f>
        <v/>
      </c>
      <c r="F10" s="6">
        <f>IF(ISBLANK(D10),"",MROUND(D10+E10,0.5))</f>
        <v/>
      </c>
      <c r="G10" s="6">
        <f>IF(ISNUMBER(Ввод!$B$1),0.5+(Ввод!E25-0.5)/(1+(760-Ввод!$B$1)/60),"")</f>
        <v/>
      </c>
      <c r="H10" s="6">
        <f>IF(OR(ISBLANK(B10),ISBLANK(C10)),"",ABS(B10-C10))</f>
        <v/>
      </c>
      <c r="I10" s="6">
        <f>IF(Ввод!$D$1=1,1.2+0.86*M10,1+0.41*M10)</f>
        <v/>
      </c>
      <c r="J10" s="6">
        <f>IF(Ввод!$D$1=1,2+1.74*M10,1.8+1.33*M10)</f>
        <v/>
      </c>
      <c r="K10" s="6">
        <f>(1/SQRT(2))*SQRT(J10^2-I10^2/2)</f>
        <v/>
      </c>
      <c r="L10" s="6">
        <f>0.84*J10</f>
        <v/>
      </c>
      <c r="M10" s="6">
        <f>IF(OR(ISBLANK(F9),ISBLANK(F11)),"",ABS(F11-F9)/(A11-A9))</f>
        <v/>
      </c>
      <c r="N10" s="6">
        <f>IF(OR(ISBLANK(B10),ISBLANK(C10)),"НЕ РАССЧИТАНО",IF(AND(ISNUMBER(H10),ISNUMBER(I10)),IF(H10&lt;=I10,"OK","НЕ СООТВЕТСТВУЕТ"),"НЕ РАССЧИТАНО"))</f>
        <v/>
      </c>
      <c r="O10" s="6">
        <f>IF(ISNUMBER(A10),IF(Ввод!$D$1=1,ROUND(A10+G10,1),A10),"")</f>
        <v/>
      </c>
    </row>
    <row r="11">
      <c r="A11" s="2" t="n">
        <v>45</v>
      </c>
      <c r="B11" s="6">
        <f>Ввод!C13</f>
        <v/>
      </c>
      <c r="C11" s="6">
        <f>Ввод!D13</f>
        <v/>
      </c>
      <c r="D11" s="6">
        <f>IF(OR(ISBLANK(B11),ISBLANK(C11)),B11,MROUND((B11+C11)/2,0.5))</f>
        <v/>
      </c>
      <c r="E11" s="6">
        <f>0.00012*(760-Ввод!$B$1)*(273+D11)</f>
        <v/>
      </c>
      <c r="F11" s="6">
        <f>IF(ISBLANK(D11),"",MROUND(D11+E11,0.5))</f>
        <v/>
      </c>
      <c r="G11" s="6">
        <f>IF(ISNUMBER(Ввод!$B$1),0.5+(Ввод!E25-0.5)/(1+(760-Ввод!$B$1)/60),"")</f>
        <v/>
      </c>
      <c r="H11" s="6">
        <f>IF(OR(ISBLANK(B11),ISBLANK(C11)),"",ABS(B11-C11))</f>
        <v/>
      </c>
      <c r="I11" s="6">
        <f>IF(Ввод!$D$1=1,1.2+0.86*M11,1+0.41*M11)</f>
        <v/>
      </c>
      <c r="J11" s="6">
        <f>IF(Ввод!$D$1=1,2+1.74*M11,1.8+1.33*M11)</f>
        <v/>
      </c>
      <c r="K11" s="6">
        <f>(1/SQRT(2))*SQRT(J11^2-I11^2/2)</f>
        <v/>
      </c>
      <c r="L11" s="6">
        <f>0.84*J11</f>
        <v/>
      </c>
      <c r="M11" s="6">
        <f>IF(OR(ISBLANK(F10),ISBLANK(F12)),"",ABS(F12-F10)/(A12-A10))</f>
        <v/>
      </c>
      <c r="N11" s="6">
        <f>IF(OR(ISBLANK(B11),ISBLANK(C11)),"НЕ РАССЧИТАНО",IF(AND(ISNUMBER(H11),ISNUMBER(I11)),IF(H11&lt;=I11,"OK","НЕ СООТВЕТСТВУЕТ"),"НЕ РАССЧИТАНО"))</f>
        <v/>
      </c>
      <c r="O11" s="6">
        <f>IF(ISNUMBER(A11),IF(Ввод!$D$1=1,ROUND(A11+G11,1),A11),"")</f>
        <v/>
      </c>
    </row>
    <row r="12">
      <c r="A12" s="2" t="n">
        <v>50</v>
      </c>
      <c r="B12" s="6">
        <f>Ввод!C14</f>
        <v/>
      </c>
      <c r="C12" s="6">
        <f>Ввод!D14</f>
        <v/>
      </c>
      <c r="D12" s="6">
        <f>IF(OR(ISBLANK(B12),ISBLANK(C12)),B12,MROUND((B12+C12)/2,0.5))</f>
        <v/>
      </c>
      <c r="E12" s="6">
        <f>0.00012*(760-Ввод!$B$1)*(273+D12)</f>
        <v/>
      </c>
      <c r="F12" s="6">
        <f>IF(ISBLANK(D12),"",MROUND(D12+E12,0.5))</f>
        <v/>
      </c>
      <c r="G12" s="6">
        <f>IF(ISNUMBER(Ввод!$B$1),0.5+(Ввод!E25-0.5)/(1+(760-Ввод!$B$1)/60),"")</f>
        <v/>
      </c>
      <c r="H12" s="6">
        <f>IF(OR(ISBLANK(B12),ISBLANK(C12)),"",ABS(B12-C12))</f>
        <v/>
      </c>
      <c r="I12" s="6">
        <f>IF(Ввод!$D$1=1,1.2+0.86*M12,1+0.41*M12)</f>
        <v/>
      </c>
      <c r="J12" s="6">
        <f>IF(Ввод!$D$1=1,2+1.74*M12,1.8+1.33*M12)</f>
        <v/>
      </c>
      <c r="K12" s="6">
        <f>(1/SQRT(2))*SQRT(J12^2-I12^2/2)</f>
        <v/>
      </c>
      <c r="L12" s="6">
        <f>0.84*J12</f>
        <v/>
      </c>
      <c r="M12" s="6">
        <f>IF(OR(ISBLANK(F11),ISBLANK(F13)),"",ABS(F13-F11)/(A13-A11))</f>
        <v/>
      </c>
      <c r="N12" s="6">
        <f>IF(OR(ISBLANK(B12),ISBLANK(C12)),"НЕ РАССЧИТАНО",IF(AND(ISNUMBER(H12),ISNUMBER(I12)),IF(H12&lt;=I12,"OK","НЕ СООТВЕТСТВУЕТ"),"НЕ РАССЧИТАНО"))</f>
        <v/>
      </c>
      <c r="O12" s="6">
        <f>IF(ISNUMBER(A12),IF(Ввод!$D$1=1,ROUND(A12+G12,1),A12),"")</f>
        <v/>
      </c>
    </row>
    <row r="13">
      <c r="A13" s="2" t="n">
        <v>55</v>
      </c>
      <c r="B13" s="6">
        <f>Ввод!C15</f>
        <v/>
      </c>
      <c r="C13" s="6">
        <f>Ввод!D15</f>
        <v/>
      </c>
      <c r="D13" s="6">
        <f>IF(OR(ISBLANK(B13),ISBLANK(C13)),B13,MROUND((B13+C13)/2,0.5))</f>
        <v/>
      </c>
      <c r="E13" s="6">
        <f>0.00012*(760-Ввод!$B$1)*(273+D13)</f>
        <v/>
      </c>
      <c r="F13" s="6">
        <f>IF(ISBLANK(D13),"",MROUND(D13+E13,0.5))</f>
        <v/>
      </c>
      <c r="G13" s="6">
        <f>IF(ISNUMBER(Ввод!$B$1),0.5+(Ввод!E25-0.5)/(1+(760-Ввод!$B$1)/60),"")</f>
        <v/>
      </c>
      <c r="H13" s="6">
        <f>IF(OR(ISBLANK(B13),ISBLANK(C13)),"",ABS(B13-C13))</f>
        <v/>
      </c>
      <c r="I13" s="6">
        <f>IF(Ввод!$D$1=1,1.2+0.86*M13,1+0.41*M13)</f>
        <v/>
      </c>
      <c r="J13" s="6">
        <f>IF(Ввод!$D$1=1,2+1.74*M13,1.8+1.33*M13)</f>
        <v/>
      </c>
      <c r="K13" s="6">
        <f>(1/SQRT(2))*SQRT(J13^2-I13^2/2)</f>
        <v/>
      </c>
      <c r="L13" s="6">
        <f>0.84*J13</f>
        <v/>
      </c>
      <c r="M13" s="6">
        <f>IF(OR(ISBLANK(F12),ISBLANK(F14)),"",ABS(F14-F12)/(A14-A12))</f>
        <v/>
      </c>
      <c r="N13" s="6">
        <f>IF(OR(ISBLANK(B13),ISBLANK(C13)),"НЕ РАССЧИТАНО",IF(AND(ISNUMBER(H13),ISNUMBER(I13)),IF(H13&lt;=I13,"OK","НЕ СООТВЕТСТВУЕТ"),"НЕ РАССЧИТАНО"))</f>
        <v/>
      </c>
      <c r="O13" s="6">
        <f>IF(ISNUMBER(A13),IF(Ввод!$D$1=1,ROUND(A13+G13,1),A13),"")</f>
        <v/>
      </c>
    </row>
    <row r="14">
      <c r="A14" s="2" t="n">
        <v>60</v>
      </c>
      <c r="B14" s="6">
        <f>Ввод!C16</f>
        <v/>
      </c>
      <c r="C14" s="6">
        <f>Ввод!D16</f>
        <v/>
      </c>
      <c r="D14" s="6">
        <f>IF(OR(ISBLANK(B14),ISBLANK(C14)),B14,MROUND((B14+C14)/2,0.5))</f>
        <v/>
      </c>
      <c r="E14" s="6">
        <f>0.00012*(760-Ввод!$B$1)*(273+D14)</f>
        <v/>
      </c>
      <c r="F14" s="6">
        <f>IF(ISBLANK(D14),"",MROUND(D14+E14,0.5))</f>
        <v/>
      </c>
      <c r="G14" s="6">
        <f>IF(ISNUMBER(Ввод!$B$1),0.5+(Ввод!E25-0.5)/(1+(760-Ввод!$B$1)/60),"")</f>
        <v/>
      </c>
      <c r="H14" s="6">
        <f>IF(OR(ISBLANK(B14),ISBLANK(C14)),"",ABS(B14-C14))</f>
        <v/>
      </c>
      <c r="I14" s="6">
        <f>IF(Ввод!$D$1=1,1.2+0.86*M14,1+0.41*M14)</f>
        <v/>
      </c>
      <c r="J14" s="6">
        <f>IF(Ввод!$D$1=1,2+1.74*M14,1.8+1.33*M14)</f>
        <v/>
      </c>
      <c r="K14" s="6">
        <f>(1/SQRT(2))*SQRT(J14^2-I14^2/2)</f>
        <v/>
      </c>
      <c r="L14" s="6">
        <f>0.84*J14</f>
        <v/>
      </c>
      <c r="M14" s="6">
        <f>IF(OR(ISBLANK(F13),ISBLANK(F15)),"",ABS(F15-F13)/(A15-A13))</f>
        <v/>
      </c>
      <c r="N14" s="6">
        <f>IF(OR(ISBLANK(B14),ISBLANK(C14)),"НЕ РАССЧИТАНО",IF(AND(ISNUMBER(H14),ISNUMBER(I14)),IF(H14&lt;=I14,"OK","НЕ СООТВЕТСТВУЕТ"),"НЕ РАССЧИТАНО"))</f>
        <v/>
      </c>
      <c r="O14" s="6">
        <f>IF(ISNUMBER(A14),IF(Ввод!$D$1=1,ROUND(A14+G14,1),A14),"")</f>
        <v/>
      </c>
    </row>
    <row r="15">
      <c r="A15" s="2" t="n">
        <v>65</v>
      </c>
      <c r="B15" s="6">
        <f>Ввод!C17</f>
        <v/>
      </c>
      <c r="C15" s="6">
        <f>Ввод!D17</f>
        <v/>
      </c>
      <c r="D15" s="6">
        <f>IF(OR(ISBLANK(B15),ISBLANK(C15)),B15,MROUND((B15+C15)/2,0.5))</f>
        <v/>
      </c>
      <c r="E15" s="6">
        <f>0.00012*(760-Ввод!$B$1)*(273+D15)</f>
        <v/>
      </c>
      <c r="F15" s="6">
        <f>IF(ISBLANK(D15),"",MROUND(D15+E15,0.5))</f>
        <v/>
      </c>
      <c r="G15" s="6">
        <f>IF(ISNUMBER(Ввод!$B$1),0.5+(Ввод!E25-0.5)/(1+(760-Ввод!$B$1)/60),"")</f>
        <v/>
      </c>
      <c r="H15" s="6">
        <f>IF(OR(ISBLANK(B15),ISBLANK(C15)),"",ABS(B15-C15))</f>
        <v/>
      </c>
      <c r="I15" s="6">
        <f>IF(Ввод!$D$1=1,1.2+0.86*M15,1+0.41*M15)</f>
        <v/>
      </c>
      <c r="J15" s="6">
        <f>IF(Ввод!$D$1=1,2+1.74*M15,1.8+1.33*M15)</f>
        <v/>
      </c>
      <c r="K15" s="6">
        <f>(1/SQRT(2))*SQRT(J15^2-I15^2/2)</f>
        <v/>
      </c>
      <c r="L15" s="6">
        <f>0.84*J15</f>
        <v/>
      </c>
      <c r="M15" s="6">
        <f>IF(OR(ISBLANK(F14),ISBLANK(F16)),"",ABS(F16-F14)/(A16-A14))</f>
        <v/>
      </c>
      <c r="N15" s="6">
        <f>IF(OR(ISBLANK(B15),ISBLANK(C15)),"НЕ РАССЧИТАНО",IF(AND(ISNUMBER(H15),ISNUMBER(I15)),IF(H15&lt;=I15,"OK","НЕ СООТВЕТСТВУЕТ"),"НЕ РАССЧИТАНО"))</f>
        <v/>
      </c>
      <c r="O15" s="6">
        <f>IF(ISNUMBER(A15),IF(Ввод!$D$1=1,ROUND(A15+G15,1),A15),"")</f>
        <v/>
      </c>
    </row>
    <row r="16">
      <c r="A16" s="2" t="n">
        <v>70</v>
      </c>
      <c r="B16" s="6">
        <f>Ввод!C18</f>
        <v/>
      </c>
      <c r="C16" s="6">
        <f>Ввод!D18</f>
        <v/>
      </c>
      <c r="D16" s="6">
        <f>IF(OR(ISBLANK(B16),ISBLANK(C16)),B16,MROUND((B16+C16)/2,0.5))</f>
        <v/>
      </c>
      <c r="E16" s="6">
        <f>0.00012*(760-Ввод!$B$1)*(273+D16)</f>
        <v/>
      </c>
      <c r="F16" s="6">
        <f>IF(ISBLANK(D16),"",MROUND(D16+E16,0.5))</f>
        <v/>
      </c>
      <c r="G16" s="6">
        <f>IF(ISNUMBER(Ввод!$B$1),0.5+(Ввод!E25-0.5)/(1+(760-Ввод!$B$1)/60),"")</f>
        <v/>
      </c>
      <c r="H16" s="6">
        <f>IF(OR(ISBLANK(B16),ISBLANK(C16)),"",ABS(B16-C16))</f>
        <v/>
      </c>
      <c r="I16" s="6">
        <f>IF(Ввод!$D$1=1,1.2+0.86*M16,1+0.41*M16)</f>
        <v/>
      </c>
      <c r="J16" s="6">
        <f>IF(Ввод!$D$1=1,2+1.74*M16,1.8+1.33*M16)</f>
        <v/>
      </c>
      <c r="K16" s="6">
        <f>(1/SQRT(2))*SQRT(J16^2-I16^2/2)</f>
        <v/>
      </c>
      <c r="L16" s="6">
        <f>0.84*J16</f>
        <v/>
      </c>
      <c r="M16" s="6">
        <f>IF(OR(ISBLANK(F15),ISBLANK(F17)),"",ABS(F17-F15)/(A17-A15))</f>
        <v/>
      </c>
      <c r="N16" s="6">
        <f>IF(OR(ISBLANK(B16),ISBLANK(C16)),"НЕ РАССЧИТАНО",IF(AND(ISNUMBER(H16),ISNUMBER(I16)),IF(H16&lt;=I16,"OK","НЕ СООТВЕТСТВУЕТ"),"НЕ РАССЧИТАНО"))</f>
        <v/>
      </c>
      <c r="O16" s="6">
        <f>IF(ISNUMBER(A16),IF(Ввод!$D$1=1,ROUND(A16+G16,1),A16),"")</f>
        <v/>
      </c>
    </row>
    <row r="17">
      <c r="A17" s="2" t="n">
        <v>75</v>
      </c>
      <c r="B17" s="6">
        <f>Ввод!C19</f>
        <v/>
      </c>
      <c r="C17" s="6">
        <f>Ввод!D19</f>
        <v/>
      </c>
      <c r="D17" s="6">
        <f>IF(OR(ISBLANK(B17),ISBLANK(C17)),B17,MROUND((B17+C17)/2,0.5))</f>
        <v/>
      </c>
      <c r="E17" s="6">
        <f>0.00012*(760-Ввод!$B$1)*(273+D17)</f>
        <v/>
      </c>
      <c r="F17" s="6">
        <f>IF(ISBLANK(D17),"",MROUND(D17+E17,0.5))</f>
        <v/>
      </c>
      <c r="G17" s="6">
        <f>IF(ISNUMBER(Ввод!$B$1),0.5+(Ввод!E25-0.5)/(1+(760-Ввод!$B$1)/60),"")</f>
        <v/>
      </c>
      <c r="H17" s="6">
        <f>IF(OR(ISBLANK(B17),ISBLANK(C17)),"",ABS(B17-C17))</f>
        <v/>
      </c>
      <c r="I17" s="6">
        <f>IF(Ввод!$D$1=1,1.2+0.86*M17,1+0.41*M17)</f>
        <v/>
      </c>
      <c r="J17" s="6">
        <f>IF(Ввод!$D$1=1,2+1.74*M17,1.8+1.33*M17)</f>
        <v/>
      </c>
      <c r="K17" s="6">
        <f>(1/SQRT(2))*SQRT(J17^2-I17^2/2)</f>
        <v/>
      </c>
      <c r="L17" s="6">
        <f>0.84*J17</f>
        <v/>
      </c>
      <c r="M17" s="6">
        <f>IF(OR(ISBLANK(F16),ISBLANK(F18)),"",ABS(F18-F16)/(A18-A16))</f>
        <v/>
      </c>
      <c r="N17" s="6">
        <f>IF(OR(ISBLANK(B17),ISBLANK(C17)),"НЕ РАССЧИТАНО",IF(AND(ISNUMBER(H17),ISNUMBER(I17)),IF(H17&lt;=I17,"OK","НЕ СООТВЕТСТВУЕТ"),"НЕ РАССЧИТАНО"))</f>
        <v/>
      </c>
      <c r="O17" s="6">
        <f>IF(ISNUMBER(A17),IF(Ввод!$D$1=1,ROUND(A17+G17,1),A17),"")</f>
        <v/>
      </c>
    </row>
    <row r="18">
      <c r="A18" s="2" t="n">
        <v>80</v>
      </c>
      <c r="B18" s="6">
        <f>Ввод!C20</f>
        <v/>
      </c>
      <c r="C18" s="6">
        <f>Ввод!D20</f>
        <v/>
      </c>
      <c r="D18" s="6">
        <f>IF(OR(ISBLANK(B18),ISBLANK(C18)),B18,MROUND((B18+C18)/2,0.5))</f>
        <v/>
      </c>
      <c r="E18" s="6">
        <f>0.00012*(760-Ввод!$B$1)*(273+D18)</f>
        <v/>
      </c>
      <c r="F18" s="6">
        <f>IF(ISBLANK(D18),"",MROUND(D18+E18,0.5))</f>
        <v/>
      </c>
      <c r="G18" s="6">
        <f>IF(ISNUMBER(Ввод!$B$1),0.5+(Ввод!E25-0.5)/(1+(760-Ввод!$B$1)/60),"")</f>
        <v/>
      </c>
      <c r="H18" s="6">
        <f>IF(OR(ISBLANK(B18),ISBLANK(C18)),"",ABS(B18-C18))</f>
        <v/>
      </c>
      <c r="I18" s="6">
        <f>IF(Ввод!$D$1=1,1.2+0.86*M18,1+0.41*M18)</f>
        <v/>
      </c>
      <c r="J18" s="6">
        <f>IF(Ввод!$D$1=1,2+1.74*M18,1.8+1.33*M18)</f>
        <v/>
      </c>
      <c r="K18" s="6">
        <f>(1/SQRT(2))*SQRT(J18^2-I18^2/2)</f>
        <v/>
      </c>
      <c r="L18" s="6">
        <f>0.84*J18</f>
        <v/>
      </c>
      <c r="M18" s="6">
        <f>IF(OR(ISBLANK(F17),ISBLANK(F19)),"",ABS(F19-F17)/(A19-A17))</f>
        <v/>
      </c>
      <c r="N18" s="6">
        <f>IF(OR(ISBLANK(B18),ISBLANK(C18)),"НЕ РАССЧИТАНО",IF(AND(ISNUMBER(H18),ISNUMBER(I18)),IF(H18&lt;=I18,"OK","НЕ СООТВЕТСТВУЕТ"),"НЕ РАССЧИТАНО"))</f>
        <v/>
      </c>
      <c r="O18" s="6">
        <f>IF(ISNUMBER(A18),IF(Ввод!$D$1=1,ROUND(A18+G18,1),A18),"")</f>
        <v/>
      </c>
    </row>
    <row r="19">
      <c r="A19" s="2" t="n">
        <v>85</v>
      </c>
      <c r="B19" s="6">
        <f>Ввод!C21</f>
        <v/>
      </c>
      <c r="C19" s="6">
        <f>Ввод!D21</f>
        <v/>
      </c>
      <c r="D19" s="6">
        <f>IF(OR(ISBLANK(B19),ISBLANK(C19)),B19,MROUND((B19+C19)/2,0.5))</f>
        <v/>
      </c>
      <c r="E19" s="6">
        <f>0.00012*(760-Ввод!$B$1)*(273+D19)</f>
        <v/>
      </c>
      <c r="F19" s="6">
        <f>IF(ISBLANK(D19),"",MROUND(D19+E19,0.5))</f>
        <v/>
      </c>
      <c r="G19" s="6">
        <f>IF(ISNUMBER(Ввод!$B$1),0.5+(Ввод!E25-0.5)/(1+(760-Ввод!$B$1)/60),"")</f>
        <v/>
      </c>
      <c r="H19" s="6">
        <f>IF(OR(ISBLANK(B19),ISBLANK(C19)),"",ABS(B19-C19))</f>
        <v/>
      </c>
      <c r="I19" s="6">
        <f>IF(Ввод!$D$1=1,1.2+0.86*M19,1+0.41*M19)</f>
        <v/>
      </c>
      <c r="J19" s="6">
        <f>IF(Ввод!$D$1=1,2+1.74*M19,1.8+1.33*M19)</f>
        <v/>
      </c>
      <c r="K19" s="6">
        <f>(1/SQRT(2))*SQRT(J19^2-I19^2/2)</f>
        <v/>
      </c>
      <c r="L19" s="6">
        <f>0.84*J19</f>
        <v/>
      </c>
      <c r="M19" s="6">
        <f>IF(OR(ISBLANK(F18),ISBLANK(F20)),"",ABS(F20-F18)/(A20-A18))</f>
        <v/>
      </c>
      <c r="N19" s="6">
        <f>IF(OR(ISBLANK(B19),ISBLANK(C19)),"НЕ РАССЧИТАНО",IF(AND(ISNUMBER(H19),ISNUMBER(I19)),IF(H19&lt;=I19,"OK","НЕ СООТВЕТСТВУЕТ"),"НЕ РАССЧИТАНО"))</f>
        <v/>
      </c>
      <c r="O19" s="6">
        <f>IF(ISNUMBER(A19),IF(Ввод!$D$1=1,ROUND(A19+G19,1),A19),"")</f>
        <v/>
      </c>
    </row>
    <row r="20">
      <c r="A20" s="2" t="n">
        <v>90</v>
      </c>
      <c r="B20" s="6">
        <f>Ввод!C22</f>
        <v/>
      </c>
      <c r="C20" s="6">
        <f>Ввод!D22</f>
        <v/>
      </c>
      <c r="D20" s="6">
        <f>IF(OR(ISBLANK(B20),ISBLANK(C20)),B20,MROUND((B20+C20)/2,0.5))</f>
        <v/>
      </c>
      <c r="E20" s="6">
        <f>0.00012*(760-Ввод!$B$1)*(273+D20)</f>
        <v/>
      </c>
      <c r="F20" s="6">
        <f>IF(ISBLANK(D20),"",MROUND(D20+E20,0.5))</f>
        <v/>
      </c>
      <c r="G20" s="6">
        <f>IF(ISNUMBER(Ввод!$B$1),0.5+(Ввод!E25-0.5)/(1+(760-Ввод!$B$1)/60),"")</f>
        <v/>
      </c>
      <c r="H20" s="6">
        <f>IF(OR(ISBLANK(B20),ISBLANK(C20)),"",ABS(B20-C20))</f>
        <v/>
      </c>
      <c r="I20" s="6">
        <f>IF(Ввод!$D$1=1,1.2+0.86*M20,1+0.41*M20)</f>
        <v/>
      </c>
      <c r="J20" s="6">
        <f>IF(Ввод!$D$1=1,0.8+1.74*M20,1.8+1.33*M20)</f>
        <v/>
      </c>
      <c r="K20" s="6">
        <f>(1/SQRT(2))*SQRT(J20^2-I20^2/2)</f>
        <v/>
      </c>
      <c r="L20" s="6">
        <f>0.84*J20</f>
        <v/>
      </c>
      <c r="M20" s="6">
        <f>IF(OR(ISBLANK(F19),ISBLANK(F21)),"",ABS(F21-F19)/(A21-A19))</f>
        <v/>
      </c>
      <c r="N20" s="6">
        <f>IF(OR(ISBLANK(B20),ISBLANK(C20)),"НЕ РАССЧИТАНО",IF(AND(ISNUMBER(H20),ISNUMBER(I20)),IF(H20&lt;=I20,"OK","НЕ СООТВЕТСТВУЕТ"),"НЕ РАССЧИТАНО"))</f>
        <v/>
      </c>
      <c r="O20" s="6">
        <f>IF(ISNUMBER(A20),IF(Ввод!$D$1=1,ROUND(A20+G20,1),A20),"")</f>
        <v/>
      </c>
    </row>
    <row r="21">
      <c r="A21" s="2" t="n">
        <v>95</v>
      </c>
      <c r="B21" s="6">
        <f>Ввод!C23</f>
        <v/>
      </c>
      <c r="C21" s="6">
        <f>Ввод!D23</f>
        <v/>
      </c>
      <c r="D21" s="6">
        <f>IF(OR(ISBLANK(B21),ISBLANK(C21)),B21,MROUND((B21+C21)/2,0.5))</f>
        <v/>
      </c>
      <c r="E21" s="6">
        <f>0.00012*(760-Ввод!$B$1)*(273+D21)</f>
        <v/>
      </c>
      <c r="F21" s="6">
        <f>IF(ISBLANK(D21),"",MROUND(D21+E21,0.5))</f>
        <v/>
      </c>
      <c r="G21" s="6">
        <f>IF(ISNUMBER(Ввод!$B$1),0.5+(Ввод!E25-0.5)/(1+(760-Ввод!$B$1)/60),"")</f>
        <v/>
      </c>
      <c r="H21" s="6">
        <f>IF(OR(ISBLANK(B21),ISBLANK(C21)),"",ABS(B21-C21))</f>
        <v/>
      </c>
      <c r="I21" s="6">
        <f>IF(Ввод!$D$1=1,1.2+0.86*M21,1+0.41*M21)</f>
        <v/>
      </c>
      <c r="J21" s="6">
        <f>IF(Ввод!$D$1=1,1.1+1.74*M21,1.8+1.33*M21)</f>
        <v/>
      </c>
      <c r="K21" s="6">
        <f>(1/SQRT(2))*SQRT(J21^2-I21^2/2)</f>
        <v/>
      </c>
      <c r="L21" s="6">
        <f>0.84*J21</f>
        <v/>
      </c>
      <c r="M21" s="6">
        <f>IF(OR(ISBLANK(F20),ISBLANK(F22)),"",ABS(F22-F20)/(A22-A20))</f>
        <v/>
      </c>
      <c r="N21" s="6">
        <f>IF(OR(ISBLANK(B21),ISBLANK(C21)),"НЕ РАССЧИТАНО",IF(AND(ISNUMBER(H21),ISNUMBER(I21)),IF(H21&lt;=I21,"OK","НЕ СООТВЕТСТВУЕТ"),"НЕ РАССЧИТАНО"))</f>
        <v/>
      </c>
      <c r="O21" s="6">
        <f>IF(ISNUMBER(A21),IF(Ввод!$D$1=1,ROUND(A21+G21,1),A21),"")</f>
        <v/>
      </c>
    </row>
    <row r="22">
      <c r="A22" s="2" t="n">
        <v>100</v>
      </c>
      <c r="B22" s="6">
        <f>Ввод!C24</f>
        <v/>
      </c>
      <c r="C22" s="6">
        <f>Ввод!D24</f>
        <v/>
      </c>
      <c r="D22" s="6">
        <f>IF(OR(ISBLANK(B22),ISBLANK(C22)),B22,MROUND((B22+C22)/2,0.5))</f>
        <v/>
      </c>
      <c r="E22" s="6">
        <f>0.00012*(760-Ввод!$B$1)*(273+D22)</f>
        <v/>
      </c>
      <c r="F22" s="6">
        <f>IF(ISBLANK(D22),"",MROUND(D22+E22,0.5))</f>
        <v/>
      </c>
      <c r="G22" s="6">
        <f>IF(ISNUMBER(Ввод!$B$1),0.5+(Ввод!E25-0.5)/(1+(760-Ввод!$B$1)/60),"")</f>
        <v/>
      </c>
      <c r="H22" s="6">
        <f>IF(OR(ISBLANK(B22),ISBLANK(C22)),"",ABS(B22-C22))</f>
        <v/>
      </c>
      <c r="I22" s="6">
        <f>IF(Ввод!$D$1=1,3.9,0.36*M22+0.7)</f>
        <v/>
      </c>
      <c r="J22" s="6">
        <f>IF(Ввод!$D$1=1,7.2,0.42*M22+3.1)</f>
        <v/>
      </c>
      <c r="K22" s="6">
        <f>(1/SQRT(2))*SQRT(J22^2-I22^2/2)</f>
        <v/>
      </c>
      <c r="L22" s="6">
        <f>0.84*J22</f>
        <v/>
      </c>
      <c r="M22" s="6">
        <f>IF(OR(ISBLANK(F21),ISBLANK(F22)),"",ABS(F22-F21)/(A22-A21))</f>
        <v/>
      </c>
      <c r="N22" s="6">
        <f>IF(OR(ISBLANK(B22),ISBLANK(C22)),"НЕ РАССЧИТАНО",IF(AND(ISNUMBER(H22),ISNUMBER(I22)),IF(H22&lt;=I22,"OK","НЕ СООТВЕТСТВУЕТ"),"НЕ РАССЧИТАНО"))</f>
        <v/>
      </c>
      <c r="O22" s="6">
        <f>IF(ISNUMBER(A22),IF(Ввод!$D$1=1,ROUND(A22+G22,1),A22),"")</f>
        <v/>
      </c>
    </row>
    <row r="25">
      <c r="A25" s="11" t="inlineStr">
        <is>
          <t>ВЕТКА 2 — ЗАДАНЫ ТЕМПЕРАТУРЫ (независимая ветка, ввод на этом листе): температуры из НД (нормируемые при 760 мм рт.ст.) → T_фикс (что ФИКСИРОВАТЬ на термометре при текущем давлении) → лаборант вводит ОБЪЁМЫ двух параллелей (V1, V2) → Vср, % = (V1+V2)/2 / Ввод!$G$1 * 100 → второй график и вторая модель</t>
        </is>
      </c>
    </row>
    <row r="26">
      <c r="A26" s="12" t="inlineStr">
        <is>
          <t>T_НД (при 760), °C</t>
        </is>
      </c>
      <c r="B26" s="12" t="inlineStr">
        <is>
          <t>T_фикс (ФИКСИРОВАТЬ), °C</t>
        </is>
      </c>
      <c r="C26" s="12" t="inlineStr">
        <is>
          <t>C_проверка, °C</t>
        </is>
      </c>
      <c r="D26" s="12" t="inlineStr">
        <is>
          <t>V1, мл (проба 1)</t>
        </is>
      </c>
      <c r="E26" s="12" t="inlineStr">
        <is>
          <t>V2, мл (проба 2)</t>
        </is>
      </c>
      <c r="F26" s="12" t="inlineStr">
        <is>
          <t>Vср, %</t>
        </is>
      </c>
      <c r="G26" s="12" t="inlineStr">
        <is>
          <t>r, %</t>
        </is>
      </c>
      <c r="H26" s="12" t="inlineStr">
        <is>
          <t>Статус</t>
        </is>
      </c>
      <c r="I26" s="12" t="inlineStr">
        <is>
          <t>ПОДСКАЗКА</t>
        </is>
      </c>
    </row>
    <row r="27">
      <c r="A27" s="13" t="n">
        <v>150</v>
      </c>
      <c r="B27" s="14">
        <f>IF(ISNUMBER(A27),(A27-0.00012*(760-Ввод!$B$1)*273)/(1+0.00012*(760-Ввод!$B$1)),"")</f>
        <v/>
      </c>
      <c r="C27" s="15">
        <f>IF(ISNUMBER(A27),B27+0.00012*(760-Ввод!$B$1)*(273+B27)-A27,"")</f>
        <v/>
      </c>
      <c r="D27" s="13" t="n">
        <v>5</v>
      </c>
      <c r="E27" s="13" t="n">
        <v>4</v>
      </c>
      <c r="F27" s="14">
        <f>IF(AND(ISNUMBER(D27),ISNUMBER(E27)),(D27+E27)/2/Ввод!$G$1*100,"")</f>
        <v/>
      </c>
      <c r="G27" s="15">
        <f>IF(AND(ISNUMBER(D27),ISNUMBER(E27),F27&lt;&gt;0),ABS(D27-E27)/(D27+E27)*100,"")</f>
        <v/>
      </c>
      <c r="H27" s="16">
        <f>IF(ISNUMBER(A27),IF(AND(ISNUMBER(D27),ISNUMBER(E27)),"OK","введи V1 и V2"),"—")</f>
        <v/>
      </c>
      <c r="I27" s="17" t="inlineStr">
        <is>
          <t>ВЕТКА 2 — НЕЗАВИСИМАЯ ветка «заданы температуры». 1) В колонку A (T_НД) введите числами температуры из НД (нормируемые при 760), например 150, 160, 250. 2) В колонке B — T_фикс = (T_цель − k·273)/(1+k): какую температуру ФИКСИРОВАТЬ на термометре при текущем давлении; C_проверка≈0 — пересчёт верен. 3) Проведите дистилляцию, фиксируя T_фикс, и вбейте объёмы ДВУХ ПАРАЛЛЕЛЕЙ: колонки D (V1, мл, проба 1) и E (V2, мл, проба 2) — зелёные. 4) Vср, % = (V1+V2)/2 / Ввод!$G$1 * 100 — расчёт (F). По точкам (Vср → T_НД) строится ВТОРОЙ график и ВТОРАЯ модель (кубический полином) — см. лист «График». Ветка 1 и Ветка 2 НЕЗАВИСИМЫ.</t>
        </is>
      </c>
    </row>
    <row r="28">
      <c r="A28" s="13" t="n">
        <v>200</v>
      </c>
      <c r="B28" s="14">
        <f>IF(ISNUMBER(A28),(A28-0.00012*(760-Ввод!$B$1)*273)/(1+0.00012*(760-Ввод!$B$1)),"")</f>
        <v/>
      </c>
      <c r="C28" s="15">
        <f>IF(ISNUMBER(A28),B28+0.00012*(760-Ввод!$B$1)*(273+B28)-A28,"")</f>
        <v/>
      </c>
      <c r="D28" s="13" t="n">
        <v>7</v>
      </c>
      <c r="E28" s="13" t="n">
        <v>6</v>
      </c>
      <c r="F28" s="14">
        <f>IF(AND(ISNUMBER(D28),ISNUMBER(E28)),(D28+E28)/2/Ввод!$G$1*100,"")</f>
        <v/>
      </c>
      <c r="G28" s="15">
        <f>IF(AND(ISNUMBER(D28),ISNUMBER(E28),F28&lt;&gt;0),ABS(D28-E28)/(D28+E28)*100,"")</f>
        <v/>
      </c>
      <c r="H28" s="16">
        <f>IF(ISNUMBER(A28),IF(AND(ISNUMBER(D28),ISNUMBER(E28)),"OK","введи V1 и V2"),"—")</f>
        <v/>
      </c>
    </row>
    <row r="29">
      <c r="A29" s="13" t="n">
        <v>250</v>
      </c>
      <c r="B29" s="14">
        <f>IF(ISNUMBER(A29),(A29-0.00012*(760-Ввод!$B$1)*273)/(1+0.00012*(760-Ввод!$B$1)),"")</f>
        <v/>
      </c>
      <c r="C29" s="15">
        <f>IF(ISNUMBER(A29),B29+0.00012*(760-Ввод!$B$1)*(273+B29)-A29,"")</f>
        <v/>
      </c>
      <c r="D29" s="13" t="n">
        <v>10</v>
      </c>
      <c r="E29" s="13" t="n">
        <v>9</v>
      </c>
      <c r="F29" s="14">
        <f>IF(AND(ISNUMBER(D29),ISNUMBER(E29)),(D29+E29)/2/Ввод!$G$1*100,"")</f>
        <v/>
      </c>
      <c r="G29" s="15">
        <f>IF(AND(ISNUMBER(D29),ISNUMBER(E29),F29&lt;&gt;0),ABS(D29-E29)/(D29+E29)*100,"")</f>
        <v/>
      </c>
      <c r="H29" s="16">
        <f>IF(ISNUMBER(A29),IF(AND(ISNUMBER(D29),ISNUMBER(E29)),"OK","введи V1 и V2"),"—")</f>
        <v/>
      </c>
    </row>
    <row r="30">
      <c r="A30" s="13" t="n">
        <v>300</v>
      </c>
      <c r="B30" s="14">
        <f>IF(ISNUMBER(A30),(A30-0.00012*(760-Ввод!$B$1)*273)/(1+0.00012*(760-Ввод!$B$1)),"")</f>
        <v/>
      </c>
      <c r="C30" s="15">
        <f>IF(ISNUMBER(A30),B30+0.00012*(760-Ввод!$B$1)*(273+B30)-A30,"")</f>
        <v/>
      </c>
      <c r="D30" s="13" t="n">
        <v>14</v>
      </c>
      <c r="E30" s="13" t="n">
        <v>13</v>
      </c>
      <c r="F30" s="14">
        <f>IF(AND(ISNUMBER(D30),ISNUMBER(E30)),(D30+E30)/2/Ввод!$G$1*100,"")</f>
        <v/>
      </c>
      <c r="G30" s="15">
        <f>IF(AND(ISNUMBER(D30),ISNUMBER(E30),F30&lt;&gt;0),ABS(D30-E30)/(D30+E30)*100,"")</f>
        <v/>
      </c>
      <c r="H30" s="16">
        <f>IF(ISNUMBER(A30),IF(AND(ISNUMBER(D30),ISNUMBER(E30)),"OK","введи V1 и V2"),"—")</f>
        <v/>
      </c>
    </row>
    <row r="31">
      <c r="A31" s="13" t="n">
        <v>350</v>
      </c>
      <c r="B31" s="14">
        <f>IF(ISNUMBER(A31),(A31-0.00012*(760-Ввод!$B$1)*273)/(1+0.00012*(760-Ввод!$B$1)),"")</f>
        <v/>
      </c>
      <c r="C31" s="15">
        <f>IF(ISNUMBER(A31),B31+0.00012*(760-Ввод!$B$1)*(273+B31)-A31,"")</f>
        <v/>
      </c>
      <c r="D31" s="13" t="n">
        <v>17</v>
      </c>
      <c r="E31" s="13" t="n">
        <v>18</v>
      </c>
      <c r="F31" s="14">
        <f>IF(AND(ISNUMBER(D31),ISNUMBER(E31)),(D31+E31)/2/Ввод!$G$1*100,"")</f>
        <v/>
      </c>
      <c r="G31" s="15">
        <f>IF(AND(ISNUMBER(D31),ISNUMBER(E31),F31&lt;&gt;0),ABS(D31-E31)/(D31+E31)*100,"")</f>
        <v/>
      </c>
      <c r="H31" s="16">
        <f>IF(ISNUMBER(A31),IF(AND(ISNUMBER(D31),ISNUMBER(E31)),"OK","введи V1 и V2"),"—")</f>
        <v/>
      </c>
    </row>
    <row r="32">
      <c r="A32" s="13" t="n"/>
      <c r="B32" s="14">
        <f>IF(ISNUMBER(A32),(A32-0.00012*(760-Ввод!$B$1)*273)/(1+0.00012*(760-Ввод!$B$1)),"")</f>
        <v/>
      </c>
      <c r="C32" s="15">
        <f>IF(ISNUMBER(A32),B32+0.00012*(760-Ввод!$B$1)*(273+B32)-A32,"")</f>
        <v/>
      </c>
      <c r="D32" s="13" t="n"/>
      <c r="E32" s="13" t="n"/>
      <c r="F32" s="14">
        <f>IF(AND(ISNUMBER(D32),ISNUMBER(E32)),(D32+E32)/2/Ввод!$G$1*100,"")</f>
        <v/>
      </c>
      <c r="G32" s="15">
        <f>IF(AND(ISNUMBER(D32),ISNUMBER(E32),F32&lt;&gt;0),ABS(D32-E32)/(D32+E32)*100,"")</f>
        <v/>
      </c>
      <c r="H32" s="16">
        <f>IF(ISNUMBER(A32),IF(AND(ISNUMBER(D32),ISNUMBER(E32)),"OK","введи V1 и V2"),"—")</f>
        <v/>
      </c>
    </row>
    <row r="33">
      <c r="A33" s="13" t="n"/>
      <c r="B33" s="14">
        <f>IF(ISNUMBER(A33),(A33-0.00012*(760-Ввод!$B$1)*273)/(1+0.00012*(760-Ввод!$B$1)),"")</f>
        <v/>
      </c>
      <c r="C33" s="15">
        <f>IF(ISNUMBER(A33),B33+0.00012*(760-Ввод!$B$1)*(273+B33)-A33,"")</f>
        <v/>
      </c>
      <c r="D33" s="13" t="n"/>
      <c r="E33" s="13" t="n"/>
      <c r="F33" s="14">
        <f>IF(AND(ISNUMBER(D33),ISNUMBER(E33)),(D33+E33)/2/Ввод!$G$1*100,"")</f>
        <v/>
      </c>
      <c r="G33" s="15">
        <f>IF(AND(ISNUMBER(D33),ISNUMBER(E33),F33&lt;&gt;0),ABS(D33-E33)/(D33+E33)*100,"")</f>
        <v/>
      </c>
      <c r="H33" s="16">
        <f>IF(ISNUMBER(A33),IF(AND(ISNUMBER(D33),ISNUMBER(E33)),"OK","введи V1 и V2"),"—")</f>
        <v/>
      </c>
    </row>
    <row r="34">
      <c r="A34" s="13" t="n"/>
      <c r="B34" s="14">
        <f>IF(ISNUMBER(A34),(A34-0.00012*(760-Ввод!$B$1)*273)/(1+0.00012*(760-Ввод!$B$1)),"")</f>
        <v/>
      </c>
      <c r="C34" s="15">
        <f>IF(ISNUMBER(A34),B34+0.00012*(760-Ввод!$B$1)*(273+B34)-A34,"")</f>
        <v/>
      </c>
      <c r="D34" s="13" t="n"/>
      <c r="E34" s="13" t="n"/>
      <c r="F34" s="14">
        <f>IF(AND(ISNUMBER(D34),ISNUMBER(E34)),(D34+E34)/2/Ввод!$G$1*100,"")</f>
        <v/>
      </c>
      <c r="G34" s="15">
        <f>IF(AND(ISNUMBER(D34),ISNUMBER(E34),F34&lt;&gt;0),ABS(D34-E34)/(D34+E34)*100,"")</f>
        <v/>
      </c>
      <c r="H34" s="16">
        <f>IF(ISNUMBER(A34),IF(AND(ISNUMBER(D34),ISNUMBER(E34)),"OK","введи V1 и V2"),"—")</f>
        <v/>
      </c>
    </row>
    <row r="35">
      <c r="A35" s="13" t="n"/>
      <c r="B35" s="14">
        <f>IF(ISNUMBER(A35),(A35-0.00012*(760-Ввод!$B$1)*273)/(1+0.00012*(760-Ввод!$B$1)),"")</f>
        <v/>
      </c>
      <c r="C35" s="15">
        <f>IF(ISNUMBER(A35),B35+0.00012*(760-Ввод!$B$1)*(273+B35)-A35,"")</f>
        <v/>
      </c>
      <c r="D35" s="13" t="n"/>
      <c r="E35" s="13" t="n"/>
      <c r="F35" s="14">
        <f>IF(AND(ISNUMBER(D35),ISNUMBER(E35)),(D35+E35)/2/Ввод!$G$1*100,"")</f>
        <v/>
      </c>
      <c r="G35" s="15">
        <f>IF(AND(ISNUMBER(D35),ISNUMBER(E35),F35&lt;&gt;0),ABS(D35-E35)/(D35+E35)*100,"")</f>
        <v/>
      </c>
      <c r="H35" s="16">
        <f>IF(ISNUMBER(A35),IF(AND(ISNUMBER(D35),ISNUMBER(E35)),"OK","введи V1 и V2"),"—")</f>
        <v/>
      </c>
    </row>
    <row r="36">
      <c r="A36" s="13" t="n"/>
      <c r="B36" s="14">
        <f>IF(ISNUMBER(A36),(A36-0.00012*(760-Ввод!$B$1)*273)/(1+0.00012*(760-Ввод!$B$1)),"")</f>
        <v/>
      </c>
      <c r="C36" s="15">
        <f>IF(ISNUMBER(A36),B36+0.00012*(760-Ввод!$B$1)*(273+B36)-A36,"")</f>
        <v/>
      </c>
      <c r="D36" s="13" t="n"/>
      <c r="E36" s="13" t="n"/>
      <c r="F36" s="14">
        <f>IF(AND(ISNUMBER(D36),ISNUMBER(E36)),(D36+E36)/2/Ввод!$G$1*100,"")</f>
        <v/>
      </c>
      <c r="G36" s="15">
        <f>IF(AND(ISNUMBER(D36),ISNUMBER(E36),F36&lt;&gt;0),ABS(D36-E36)/(D36+E36)*100,"")</f>
        <v/>
      </c>
      <c r="H36" s="16">
        <f>IF(ISNUMBER(A36),IF(AND(ISNUMBER(D36),ISNUMBER(E36)),"OK","введи V1 и V2"),"—")</f>
        <v/>
      </c>
    </row>
    <row r="37">
      <c r="A37" s="13" t="n"/>
      <c r="B37" s="14">
        <f>IF(ISNUMBER(A37),(A37-0.00012*(760-Ввод!$B$1)*273)/(1+0.00012*(760-Ввод!$B$1)),"")</f>
        <v/>
      </c>
      <c r="C37" s="15">
        <f>IF(ISNUMBER(A37),B37+0.00012*(760-Ввод!$B$1)*(273+B37)-A37,"")</f>
        <v/>
      </c>
      <c r="D37" s="13" t="n"/>
      <c r="E37" s="13" t="n"/>
      <c r="F37" s="14">
        <f>IF(AND(ISNUMBER(D37),ISNUMBER(E37)),(D37+E37)/2/Ввод!$G$1*100,"")</f>
        <v/>
      </c>
      <c r="G37" s="15">
        <f>IF(AND(ISNUMBER(D37),ISNUMBER(E37),F37&lt;&gt;0),ABS(D37-E37)/(D37+E37)*100,"")</f>
        <v/>
      </c>
      <c r="H37" s="16">
        <f>IF(ISNUMBER(A37),IF(AND(ISNUMBER(D37),ISNUMBER(E37)),"OK","введи V1 и V2"),"—")</f>
        <v/>
      </c>
    </row>
    <row r="38">
      <c r="A38" s="13" t="n"/>
      <c r="B38" s="14">
        <f>IF(ISNUMBER(A38),(A38-0.00012*(760-Ввод!$B$1)*273)/(1+0.00012*(760-Ввод!$B$1)),"")</f>
        <v/>
      </c>
      <c r="C38" s="15">
        <f>IF(ISNUMBER(A38),B38+0.00012*(760-Ввод!$B$1)*(273+B38)-A38,"")</f>
        <v/>
      </c>
      <c r="D38" s="13" t="n"/>
      <c r="E38" s="13" t="n"/>
      <c r="F38" s="14">
        <f>IF(AND(ISNUMBER(D38),ISNUMBER(E38)),(D38+E38)/2/Ввод!$G$1*100,"")</f>
        <v/>
      </c>
      <c r="G38" s="15">
        <f>IF(AND(ISNUMBER(D38),ISNUMBER(E38),F38&lt;&gt;0),ABS(D38-E38)/(D38+E38)*100,"")</f>
        <v/>
      </c>
      <c r="H38" s="16">
        <f>IF(ISNUMBER(A38),IF(AND(ISNUMBER(D38),ISNUMBER(E38)),"OK","введи V1 и V2"),"—")</f>
        <v/>
      </c>
    </row>
    <row r="39">
      <c r="A39" s="13" t="n"/>
      <c r="B39" s="14">
        <f>IF(ISNUMBER(A39),(A39-0.00012*(760-Ввод!$B$1)*273)/(1+0.00012*(760-Ввод!$B$1)),"")</f>
        <v/>
      </c>
      <c r="C39" s="15">
        <f>IF(ISNUMBER(A39),B39+0.00012*(760-Ввод!$B$1)*(273+B39)-A39,"")</f>
        <v/>
      </c>
      <c r="D39" s="13" t="n"/>
      <c r="E39" s="13" t="n"/>
      <c r="F39" s="14">
        <f>IF(AND(ISNUMBER(D39),ISNUMBER(E39)),(D39+E39)/2/Ввод!$G$1*100,"")</f>
        <v/>
      </c>
      <c r="G39" s="15">
        <f>IF(AND(ISNUMBER(D39),ISNUMBER(E39),F39&lt;&gt;0),ABS(D39-E39)/(D39+E39)*100,"")</f>
        <v/>
      </c>
      <c r="H39" s="16">
        <f>IF(ISNUMBER(A39),IF(AND(ISNUMBER(D39),ISNUMBER(E39)),"OK","введи V1 и V2"),"—")</f>
        <v/>
      </c>
    </row>
    <row r="40">
      <c r="A40" s="13" t="n"/>
      <c r="B40" s="14">
        <f>IF(ISNUMBER(A40),(A40-0.00012*(760-Ввод!$B$1)*273)/(1+0.00012*(760-Ввод!$B$1)),"")</f>
        <v/>
      </c>
      <c r="C40" s="15">
        <f>IF(ISNUMBER(A40),B40+0.00012*(760-Ввод!$B$1)*(273+B40)-A40,"")</f>
        <v/>
      </c>
      <c r="D40" s="13" t="n"/>
      <c r="E40" s="13" t="n"/>
      <c r="F40" s="14">
        <f>IF(AND(ISNUMBER(D40),ISNUMBER(E40)),(D40+E40)/2/Ввод!$G$1*100,"")</f>
        <v/>
      </c>
      <c r="G40" s="15">
        <f>IF(AND(ISNUMBER(D40),ISNUMBER(E40),F40&lt;&gt;0),ABS(D40-E40)/(D40+E40)*100,"")</f>
        <v/>
      </c>
      <c r="H40" s="16">
        <f>IF(ISNUMBER(A40),IF(AND(ISNUMBER(D40),ISNUMBER(E40)),"OK","введи V1 и V2"),"—")</f>
        <v/>
      </c>
    </row>
    <row r="41">
      <c r="A41" s="13" t="n"/>
      <c r="B41" s="14">
        <f>IF(ISNUMBER(A41),(A41-0.00012*(760-Ввод!$B$1)*273)/(1+0.00012*(760-Ввод!$B$1)),"")</f>
        <v/>
      </c>
      <c r="C41" s="15">
        <f>IF(ISNUMBER(A41),B41+0.00012*(760-Ввод!$B$1)*(273+B41)-A41,"")</f>
        <v/>
      </c>
      <c r="D41" s="13" t="n"/>
      <c r="E41" s="13" t="n"/>
      <c r="F41" s="14">
        <f>IF(AND(ISNUMBER(D41),ISNUMBER(E41)),(D41+E41)/2/Ввод!$G$1*100,"")</f>
        <v/>
      </c>
      <c r="G41" s="15">
        <f>IF(AND(ISNUMBER(D41),ISNUMBER(E41),F41&lt;&gt;0),ABS(D41-E41)/(D41+E41)*100,"")</f>
        <v/>
      </c>
      <c r="H41" s="16">
        <f>IF(ISNUMBER(A41),IF(AND(ISNUMBER(D41),ISNUMBER(E41)),"OK","введи V1 и V2"),"—")</f>
        <v/>
      </c>
    </row>
    <row r="42">
      <c r="A42" s="13" t="n"/>
      <c r="B42" s="14">
        <f>IF(ISNUMBER(A42),(A42-0.00012*(760-Ввод!$B$1)*273)/(1+0.00012*(760-Ввод!$B$1)),"")</f>
        <v/>
      </c>
      <c r="C42" s="15">
        <f>IF(ISNUMBER(A42),B42+0.00012*(760-Ввод!$B$1)*(273+B42)-A42,"")</f>
        <v/>
      </c>
      <c r="D42" s="13" t="n"/>
      <c r="E42" s="13" t="n"/>
      <c r="F42" s="14">
        <f>IF(AND(ISNUMBER(D42),ISNUMBER(E42)),(D42+E42)/2/Ввод!$G$1*100,"")</f>
        <v/>
      </c>
      <c r="G42" s="15">
        <f>IF(AND(ISNUMBER(D42),ISNUMBER(E42),F42&lt;&gt;0),ABS(D42-E42)/(D42+E42)*100,"")</f>
        <v/>
      </c>
      <c r="H42" s="16">
        <f>IF(ISNUMBER(A42),IF(AND(ISNUMBER(D42),ISNUMBER(E42)),"OK","введи V1 и V2"),"—")</f>
        <v/>
      </c>
    </row>
    <row r="43">
      <c r="A43" s="13" t="n"/>
      <c r="B43" s="14">
        <f>IF(ISNUMBER(A43),(A43-0.00012*(760-Ввод!$B$1)*273)/(1+0.00012*(760-Ввод!$B$1)),"")</f>
        <v/>
      </c>
      <c r="C43" s="15">
        <f>IF(ISNUMBER(A43),B43+0.00012*(760-Ввод!$B$1)*(273+B43)-A43,"")</f>
        <v/>
      </c>
      <c r="D43" s="13" t="n"/>
      <c r="E43" s="13" t="n"/>
      <c r="F43" s="14">
        <f>IF(AND(ISNUMBER(D43),ISNUMBER(E43)),(D43+E43)/2/Ввод!$G$1*100,"")</f>
        <v/>
      </c>
      <c r="G43" s="15">
        <f>IF(AND(ISNUMBER(D43),ISNUMBER(E43),F43&lt;&gt;0),ABS(D43-E43)/(D43+E43)*100,"")</f>
        <v/>
      </c>
      <c r="H43" s="16">
        <f>IF(ISNUMBER(A43),IF(AND(ISNUMBER(D43),ISNUMBER(E43)),"OK","введи V1 и V2"),"—")</f>
        <v/>
      </c>
    </row>
    <row r="44">
      <c r="A44" s="13" t="n"/>
      <c r="B44" s="14">
        <f>IF(ISNUMBER(A44),(A44-0.00012*(760-Ввод!$B$1)*273)/(1+0.00012*(760-Ввод!$B$1)),"")</f>
        <v/>
      </c>
      <c r="C44" s="15">
        <f>IF(ISNUMBER(A44),B44+0.00012*(760-Ввод!$B$1)*(273+B44)-A44,"")</f>
        <v/>
      </c>
      <c r="D44" s="13" t="n"/>
      <c r="E44" s="13" t="n"/>
      <c r="F44" s="14">
        <f>IF(AND(ISNUMBER(D44),ISNUMBER(E44)),(D44+E44)/2/Ввод!$G$1*100,"")</f>
        <v/>
      </c>
      <c r="G44" s="15">
        <f>IF(AND(ISNUMBER(D44),ISNUMBER(E44),F44&lt;&gt;0),ABS(D44-E44)/(D44+E44)*100,"")</f>
        <v/>
      </c>
      <c r="H44" s="16">
        <f>IF(ISNUMBER(A44),IF(AND(ISNUMBER(D44),ISNUMBER(E44)),"OK","введи V1 и V2"),"—")</f>
        <v/>
      </c>
    </row>
    <row r="45">
      <c r="A45" s="13" t="n"/>
      <c r="B45" s="14">
        <f>IF(ISNUMBER(A45),(A45-0.00012*(760-Ввод!$B$1)*273)/(1+0.00012*(760-Ввод!$B$1)),"")</f>
        <v/>
      </c>
      <c r="C45" s="15">
        <f>IF(ISNUMBER(A45),B45+0.00012*(760-Ввод!$B$1)*(273+B45)-A45,"")</f>
        <v/>
      </c>
      <c r="D45" s="13" t="n"/>
      <c r="E45" s="13" t="n"/>
      <c r="F45" s="14">
        <f>IF(AND(ISNUMBER(D45),ISNUMBER(E45)),(D45+E45)/2/Ввод!$G$1*100,"")</f>
        <v/>
      </c>
      <c r="G45" s="15">
        <f>IF(AND(ISNUMBER(D45),ISNUMBER(E45),F45&lt;&gt;0),ABS(D45-E45)/(D45+E45)*100,"")</f>
        <v/>
      </c>
      <c r="H45" s="16">
        <f>IF(ISNUMBER(A45),IF(AND(ISNUMBER(D45),ISNUMBER(E45)),"OK","введи V1 и V2"),"—")</f>
        <v/>
      </c>
    </row>
    <row r="46">
      <c r="A46" s="13" t="n"/>
      <c r="B46" s="14">
        <f>IF(ISNUMBER(A46),(A46-0.00012*(760-Ввод!$B$1)*273)/(1+0.00012*(760-Ввод!$B$1)),"")</f>
        <v/>
      </c>
      <c r="C46" s="15">
        <f>IF(ISNUMBER(A46),B46+0.00012*(760-Ввод!$B$1)*(273+B46)-A46,"")</f>
        <v/>
      </c>
      <c r="D46" s="13" t="n"/>
      <c r="E46" s="13" t="n"/>
      <c r="F46" s="14">
        <f>IF(AND(ISNUMBER(D46),ISNUMBER(E46)),(D46+E46)/2/Ввод!$G$1*100,"")</f>
        <v/>
      </c>
      <c r="G46" s="15">
        <f>IF(AND(ISNUMBER(D46),ISNUMBER(E46),F46&lt;&gt;0),ABS(D46-E46)/(D46+E46)*100,"")</f>
        <v/>
      </c>
      <c r="H46" s="16">
        <f>IF(ISNUMBER(A46),IF(AND(ISNUMBER(D46),ISNUMBER(E46)),"OK","введи V1 и V2"),"—")</f>
        <v/>
      </c>
    </row>
    <row r="47">
      <c r="A47" s="13" t="n"/>
      <c r="B47" s="14">
        <f>IF(ISNUMBER(A47),(A47-0.00012*(760-Ввод!$B$1)*273)/(1+0.00012*(760-Ввод!$B$1)),"")</f>
        <v/>
      </c>
      <c r="C47" s="15">
        <f>IF(ISNUMBER(A47),B47+0.00012*(760-Ввод!$B$1)*(273+B47)-A47,"")</f>
        <v/>
      </c>
      <c r="D47" s="13" t="n"/>
      <c r="E47" s="13" t="n"/>
      <c r="F47" s="14">
        <f>IF(AND(ISNUMBER(D47),ISNUMBER(E47)),(D47+E47)/2/Ввод!$G$1*100,"")</f>
        <v/>
      </c>
      <c r="G47" s="15">
        <f>IF(AND(ISNUMBER(D47),ISNUMBER(E47),F47&lt;&gt;0),ABS(D47-E47)/(D47+E47)*100,"")</f>
        <v/>
      </c>
      <c r="H47" s="16">
        <f>IF(ISNUMBER(A47),IF(AND(ISNUMBER(D47),ISNUMBER(E47)),"OK","введи V1 и V2"),"—")</f>
        <v/>
      </c>
    </row>
    <row r="48">
      <c r="A48" s="17" t="inlineStr">
        <is>
          <t>КАК ПОЛЬЗОВАТЬСЯ ВЕТКОЙ 2 (НЕЗАВИСИМАЯ, «заданы температуры»): в колонке A (T_НД, зелёная) введите температуры из НД числами, например 150, 160, 250. Обратная задача Янга: T_фикс = (T_цель − k·273)/(1+k), k = 0.00012*(760-Ввод!$B$1). Пример: P=748, T_цель=150 → k=0.00144 → T_фикс=149.4≈149.5 (фиксировать на градус ниже). C_проверка≈0 — пересчёт верен. Проведите дистилляцию, фиксируя T_фикс, и вбейте объёмы ДВУХ ПАРАЛЛЕЛЕЙ: V1 (D) и V2 (E). Vср, % = (V1+V2)/2 / Ввод!$G$1 * 100. По точкам (Vср → T_НД) строятся ВТОРОЙ график и ВТОРАЯ модель. Ветка 1 (заданы объёмы, лист «Ввод») и Ветка 2 НЕЗАВИСИМЫ.</t>
        </is>
      </c>
    </row>
    <row r="50">
      <c r="A50" s="18" t="inlineStr">
        <is>
          <t>АППРОКСИМАЦИЯ КРИВОЙ ВЕТКИ 1 КУБИЧЕСКИМ ПОЛИНОМОМ (T_corr = a3·V³+a2·V²+a1·V+a0; кривая НЕ линейна):</t>
        </is>
      </c>
    </row>
    <row r="51">
      <c r="A51" s="12" t="inlineStr">
        <is>
          <t>a3 (x³)</t>
        </is>
      </c>
      <c r="B51" s="12" t="inlineStr">
        <is>
          <t>a2 (x²)</t>
        </is>
      </c>
      <c r="C51" s="12" t="inlineStr">
        <is>
          <t>a1 (x)</t>
        </is>
      </c>
      <c r="D51" s="12" t="inlineStr">
        <is>
          <t>a0</t>
        </is>
      </c>
    </row>
    <row r="52">
      <c r="A52" s="19">
        <f t="array" ref="A52:D52">LINEST(F$2:F$22,A$2:A$22^{1,2,3})</f>
        <v/>
      </c>
      <c r="B52" s="19" t="n">
        <v>-0.0503474100270439</v>
      </c>
      <c r="C52" s="19" t="n">
        <v>3.75694324744668</v>
      </c>
      <c r="D52" s="15" t="n">
        <v>168.0530773574252</v>
      </c>
    </row>
    <row r="53">
      <c r="A53" s="12" t="inlineStr">
        <is>
          <t>V, %</t>
        </is>
      </c>
      <c r="B53" s="12" t="inlineStr">
        <is>
          <t>T_corr (эксп.), °C</t>
        </is>
      </c>
      <c r="C53" s="12" t="inlineStr">
        <is>
          <t>T_полином, °C</t>
        </is>
      </c>
      <c r="D53" s="12" t="inlineStr">
        <is>
          <t>Остаток (эксп−полином)</t>
        </is>
      </c>
    </row>
    <row r="54">
      <c r="A54" s="16">
        <f>A2</f>
        <v/>
      </c>
      <c r="B54" s="14">
        <f>F2</f>
        <v/>
      </c>
      <c r="C54" s="14">
        <f>IF(ISNUMBER(F2),$A$52*A54^3+$B$52*A54^2+$C$52*A54+$D$52,"")</f>
        <v/>
      </c>
      <c r="D54" s="14">
        <f>IF(AND(ISNUMBER(F2),ISNUMBER(C54)),F2-C54,"")</f>
        <v/>
      </c>
    </row>
    <row r="55">
      <c r="A55" s="16">
        <f>A3</f>
        <v/>
      </c>
      <c r="B55" s="14">
        <f>F3</f>
        <v/>
      </c>
      <c r="C55" s="14">
        <f>IF(ISNUMBER(F3),$A$52*A55^3+$B$52*A55^2+$C$52*A55+$D$52,"")</f>
        <v/>
      </c>
      <c r="D55" s="14">
        <f>IF(AND(ISNUMBER(F3),ISNUMBER(C55)),F3-C55,"")</f>
        <v/>
      </c>
    </row>
    <row r="56">
      <c r="A56" s="16">
        <f>A4</f>
        <v/>
      </c>
      <c r="B56" s="14">
        <f>F4</f>
        <v/>
      </c>
      <c r="C56" s="14">
        <f>IF(ISNUMBER(F4),$A$52*A56^3+$B$52*A56^2+$C$52*A56+$D$52,"")</f>
        <v/>
      </c>
      <c r="D56" s="14">
        <f>IF(AND(ISNUMBER(F4),ISNUMBER(C56)),F4-C56,"")</f>
        <v/>
      </c>
    </row>
    <row r="57">
      <c r="A57" s="16">
        <f>A5</f>
        <v/>
      </c>
      <c r="B57" s="14">
        <f>F5</f>
        <v/>
      </c>
      <c r="C57" s="14">
        <f>IF(ISNUMBER(F5),$A$52*A57^3+$B$52*A57^2+$C$52*A57+$D$52,"")</f>
        <v/>
      </c>
      <c r="D57" s="14">
        <f>IF(AND(ISNUMBER(F5),ISNUMBER(C57)),F5-C57,"")</f>
        <v/>
      </c>
    </row>
    <row r="58">
      <c r="A58" s="16">
        <f>A6</f>
        <v/>
      </c>
      <c r="B58" s="14">
        <f>F6</f>
        <v/>
      </c>
      <c r="C58" s="14">
        <f>IF(ISNUMBER(F6),$A$52*A58^3+$B$52*A58^2+$C$52*A58+$D$52,"")</f>
        <v/>
      </c>
      <c r="D58" s="14">
        <f>IF(AND(ISNUMBER(F6),ISNUMBER(C58)),F6-C58,"")</f>
        <v/>
      </c>
    </row>
    <row r="59">
      <c r="A59" s="16">
        <f>A7</f>
        <v/>
      </c>
      <c r="B59" s="14">
        <f>F7</f>
        <v/>
      </c>
      <c r="C59" s="14">
        <f>IF(ISNUMBER(F7),$A$52*A59^3+$B$52*A59^2+$C$52*A59+$D$52,"")</f>
        <v/>
      </c>
      <c r="D59" s="14">
        <f>IF(AND(ISNUMBER(F7),ISNUMBER(C59)),F7-C59,"")</f>
        <v/>
      </c>
    </row>
    <row r="60">
      <c r="A60" s="16">
        <f>A8</f>
        <v/>
      </c>
      <c r="B60" s="14">
        <f>F8</f>
        <v/>
      </c>
      <c r="C60" s="14">
        <f>IF(ISNUMBER(F8),$A$52*A60^3+$B$52*A60^2+$C$52*A60+$D$52,"")</f>
        <v/>
      </c>
      <c r="D60" s="14">
        <f>IF(AND(ISNUMBER(F8),ISNUMBER(C60)),F8-C60,"")</f>
        <v/>
      </c>
    </row>
    <row r="61">
      <c r="A61" s="16">
        <f>A9</f>
        <v/>
      </c>
      <c r="B61" s="14">
        <f>F9</f>
        <v/>
      </c>
      <c r="C61" s="14">
        <f>IF(ISNUMBER(F9),$A$52*A61^3+$B$52*A61^2+$C$52*A61+$D$52,"")</f>
        <v/>
      </c>
      <c r="D61" s="14">
        <f>IF(AND(ISNUMBER(F9),ISNUMBER(C61)),F9-C61,"")</f>
        <v/>
      </c>
    </row>
    <row r="62">
      <c r="A62" s="16">
        <f>A10</f>
        <v/>
      </c>
      <c r="B62" s="14">
        <f>F10</f>
        <v/>
      </c>
      <c r="C62" s="14">
        <f>IF(ISNUMBER(F10),$A$52*A62^3+$B$52*A62^2+$C$52*A62+$D$52,"")</f>
        <v/>
      </c>
      <c r="D62" s="14">
        <f>IF(AND(ISNUMBER(F10),ISNUMBER(C62)),F10-C62,"")</f>
        <v/>
      </c>
    </row>
    <row r="63">
      <c r="A63" s="16">
        <f>A11</f>
        <v/>
      </c>
      <c r="B63" s="14">
        <f>F11</f>
        <v/>
      </c>
      <c r="C63" s="14">
        <f>IF(ISNUMBER(F11),$A$52*A63^3+$B$52*A63^2+$C$52*A63+$D$52,"")</f>
        <v/>
      </c>
      <c r="D63" s="14">
        <f>IF(AND(ISNUMBER(F11),ISNUMBER(C63)),F11-C63,"")</f>
        <v/>
      </c>
    </row>
    <row r="64">
      <c r="A64" s="16">
        <f>A12</f>
        <v/>
      </c>
      <c r="B64" s="14">
        <f>F12</f>
        <v/>
      </c>
      <c r="C64" s="14">
        <f>IF(ISNUMBER(F12),$A$52*A64^3+$B$52*A64^2+$C$52*A64+$D$52,"")</f>
        <v/>
      </c>
      <c r="D64" s="14">
        <f>IF(AND(ISNUMBER(F12),ISNUMBER(C64)),F12-C64,"")</f>
        <v/>
      </c>
    </row>
    <row r="65">
      <c r="A65" s="16">
        <f>A13</f>
        <v/>
      </c>
      <c r="B65" s="14">
        <f>F13</f>
        <v/>
      </c>
      <c r="C65" s="14">
        <f>IF(ISNUMBER(F13),$A$52*A65^3+$B$52*A65^2+$C$52*A65+$D$52,"")</f>
        <v/>
      </c>
      <c r="D65" s="14">
        <f>IF(AND(ISNUMBER(F13),ISNUMBER(C65)),F13-C65,"")</f>
        <v/>
      </c>
    </row>
    <row r="66">
      <c r="A66" s="16">
        <f>A14</f>
        <v/>
      </c>
      <c r="B66" s="14">
        <f>F14</f>
        <v/>
      </c>
      <c r="C66" s="14">
        <f>IF(ISNUMBER(F14),$A$52*A66^3+$B$52*A66^2+$C$52*A66+$D$52,"")</f>
        <v/>
      </c>
      <c r="D66" s="14">
        <f>IF(AND(ISNUMBER(F14),ISNUMBER(C66)),F14-C66,"")</f>
        <v/>
      </c>
    </row>
    <row r="67">
      <c r="A67" s="16">
        <f>A15</f>
        <v/>
      </c>
      <c r="B67" s="14">
        <f>F15</f>
        <v/>
      </c>
      <c r="C67" s="14">
        <f>IF(ISNUMBER(F15),$A$52*A67^3+$B$52*A67^2+$C$52*A67+$D$52,"")</f>
        <v/>
      </c>
      <c r="D67" s="14">
        <f>IF(AND(ISNUMBER(F15),ISNUMBER(C67)),F15-C67,"")</f>
        <v/>
      </c>
    </row>
    <row r="68">
      <c r="A68" s="16">
        <f>A16</f>
        <v/>
      </c>
      <c r="B68" s="14">
        <f>F16</f>
        <v/>
      </c>
      <c r="C68" s="14">
        <f>IF(ISNUMBER(F16),$A$52*A68^3+$B$52*A68^2+$C$52*A68+$D$52,"")</f>
        <v/>
      </c>
      <c r="D68" s="14">
        <f>IF(AND(ISNUMBER(F16),ISNUMBER(C68)),F16-C68,"")</f>
        <v/>
      </c>
    </row>
    <row r="69">
      <c r="A69" s="16">
        <f>A17</f>
        <v/>
      </c>
      <c r="B69" s="14">
        <f>F17</f>
        <v/>
      </c>
      <c r="C69" s="14">
        <f>IF(ISNUMBER(F17),$A$52*A69^3+$B$52*A69^2+$C$52*A69+$D$52,"")</f>
        <v/>
      </c>
      <c r="D69" s="14">
        <f>IF(AND(ISNUMBER(F17),ISNUMBER(C69)),F17-C69,"")</f>
        <v/>
      </c>
    </row>
    <row r="70">
      <c r="A70" s="16">
        <f>A18</f>
        <v/>
      </c>
      <c r="B70" s="14">
        <f>F18</f>
        <v/>
      </c>
      <c r="C70" s="14">
        <f>IF(ISNUMBER(F18),$A$52*A70^3+$B$52*A70^2+$C$52*A70+$D$52,"")</f>
        <v/>
      </c>
      <c r="D70" s="14">
        <f>IF(AND(ISNUMBER(F18),ISNUMBER(C70)),F18-C70,"")</f>
        <v/>
      </c>
    </row>
    <row r="71">
      <c r="A71" s="16">
        <f>A19</f>
        <v/>
      </c>
      <c r="B71" s="14">
        <f>F19</f>
        <v/>
      </c>
      <c r="C71" s="14">
        <f>IF(ISNUMBER(F19),$A$52*A71^3+$B$52*A71^2+$C$52*A71+$D$52,"")</f>
        <v/>
      </c>
      <c r="D71" s="14">
        <f>IF(AND(ISNUMBER(F19),ISNUMBER(C71)),F19-C71,"")</f>
        <v/>
      </c>
    </row>
    <row r="72">
      <c r="A72" s="16">
        <f>A20</f>
        <v/>
      </c>
      <c r="B72" s="14">
        <f>F20</f>
        <v/>
      </c>
      <c r="C72" s="14">
        <f>IF(ISNUMBER(F20),$A$52*A72^3+$B$52*A72^2+$C$52*A72+$D$52,"")</f>
        <v/>
      </c>
      <c r="D72" s="14">
        <f>IF(AND(ISNUMBER(F20),ISNUMBER(C72)),F20-C72,"")</f>
        <v/>
      </c>
    </row>
    <row r="73">
      <c r="A73" s="16">
        <f>A21</f>
        <v/>
      </c>
      <c r="B73" s="14">
        <f>F21</f>
        <v/>
      </c>
      <c r="C73" s="14">
        <f>IF(ISNUMBER(F21),$A$52*A73^3+$B$52*A73^2+$C$52*A73+$D$52,"")</f>
        <v/>
      </c>
      <c r="D73" s="14">
        <f>IF(AND(ISNUMBER(F21),ISNUMBER(C73)),F21-C73,"")</f>
        <v/>
      </c>
    </row>
    <row r="74">
      <c r="A74" s="16">
        <f>A22</f>
        <v/>
      </c>
      <c r="B74" s="14">
        <f>F22</f>
        <v/>
      </c>
      <c r="C74" s="14">
        <f>IF(ISNUMBER(F22),$A$52*A74^3+$B$52*A74^2+$C$52*A74+$D$52,"")</f>
        <v/>
      </c>
      <c r="D74" s="14">
        <f>IF(AND(ISNUMBER(F22),ISNUMBER(C74)),F22-C74,"")</f>
        <v/>
      </c>
    </row>
    <row r="75">
      <c r="A75" s="20" t="inlineStr">
        <is>
          <t>R² (эксп vs полином):</t>
        </is>
      </c>
      <c r="B75" s="21">
        <f>RSQ(B54:B74,C54:C74)</f>
        <v/>
      </c>
    </row>
    <row r="76">
      <c r="A76" s="17" t="inlineStr">
        <is>
          <t>Кубический полином подобран по ВСЕМ точкам кривой Ветки 1 (LINEST). Остатки показывают качество фитинга. Для S-образной кривой линейная и параболическая аппроксимации неприменимы (систематические остатки) — используется куб.</t>
        </is>
      </c>
    </row>
    <row r="78">
      <c r="A78" s="18" t="inlineStr">
        <is>
          <t>ВТОРАЯ МОДЕЛЬ (ВЕТКА 2): T_НД = a3·Vср³+a2·Vср²+a1·Vср+a0 по ФАКТИЧЕСКИ ВВЕДЁННЫМ точкам (Vср → T_НД), собранным без пустот:</t>
        </is>
      </c>
    </row>
    <row r="79">
      <c r="A79" s="12" t="inlineStr">
        <is>
          <t>a3 (x³)</t>
        </is>
      </c>
      <c r="B79" s="12" t="inlineStr">
        <is>
          <t>a2 (x²)</t>
        </is>
      </c>
      <c r="C79" s="12" t="inlineStr">
        <is>
          <t>a1 (x)</t>
        </is>
      </c>
      <c r="D79" s="12" t="inlineStr">
        <is>
          <t>a0</t>
        </is>
      </c>
    </row>
    <row r="80">
      <c r="A80" s="19">
        <f t="array" ref="A80:D80">LINEST(График!B29:B49,График!A29:A49^{1,2,3})</f>
        <v/>
      </c>
      <c r="B80" s="19" t="e">
        <v>#VALUE!</v>
      </c>
      <c r="C80" s="19" t="e">
        <v>#VALUE!</v>
      </c>
      <c r="D80" s="15" t="e">
        <v>#VALUE!</v>
      </c>
    </row>
    <row r="81">
      <c r="A81" s="12" t="inlineStr">
        <is>
          <t>Vср, %</t>
        </is>
      </c>
      <c r="B81" s="12" t="inlineStr">
        <is>
          <t>T_НД, °C (из НД, при 760)</t>
        </is>
      </c>
      <c r="C81" s="12" t="inlineStr">
        <is>
          <t>T_полином, °C</t>
        </is>
      </c>
      <c r="D81" s="12" t="inlineStr">
        <is>
          <t>Остаток (T_НД−T_полином)</t>
        </is>
      </c>
    </row>
    <row r="82">
      <c r="A82" s="14">
        <f>График!A29</f>
        <v/>
      </c>
      <c r="B82" s="14">
        <f>График!B29</f>
        <v/>
      </c>
      <c r="C82" s="14">
        <f>IF(ISNUMBER(График!B29),$A$80*График!A29^3+$B$80*График!A29^2+$C$80*График!A29+$D$80,"")</f>
        <v/>
      </c>
      <c r="D82" s="14">
        <f>IF(AND(ISNUMBER(График!B29),ISNUMBER(C82)),График!B29-C82,"")</f>
        <v/>
      </c>
    </row>
    <row r="83">
      <c r="A83" s="14">
        <f>График!A30</f>
        <v/>
      </c>
      <c r="B83" s="14">
        <f>График!B30</f>
        <v/>
      </c>
      <c r="C83" s="14">
        <f>IF(ISNUMBER(График!B30),$A$80*График!A30^3+$B$80*График!A30^2+$C$80*График!A30+$D$80,"")</f>
        <v/>
      </c>
      <c r="D83" s="14">
        <f>IF(AND(ISNUMBER(График!B30),ISNUMBER(C83)),График!B30-C83,"")</f>
        <v/>
      </c>
    </row>
    <row r="84">
      <c r="A84" s="14">
        <f>График!A31</f>
        <v/>
      </c>
      <c r="B84" s="14">
        <f>График!B31</f>
        <v/>
      </c>
      <c r="C84" s="14">
        <f>IF(ISNUMBER(График!B31),$A$80*График!A31^3+$B$80*График!A31^2+$C$80*График!A31+$D$80,"")</f>
        <v/>
      </c>
      <c r="D84" s="14">
        <f>IF(AND(ISNUMBER(График!B31),ISNUMBER(C84)),График!B31-C84,"")</f>
        <v/>
      </c>
    </row>
    <row r="85">
      <c r="A85" s="14">
        <f>График!A32</f>
        <v/>
      </c>
      <c r="B85" s="14">
        <f>График!B32</f>
        <v/>
      </c>
      <c r="C85" s="14">
        <f>IF(ISNUMBER(График!B32),$A$80*График!A32^3+$B$80*График!A32^2+$C$80*График!A32+$D$80,"")</f>
        <v/>
      </c>
      <c r="D85" s="14">
        <f>IF(AND(ISNUMBER(График!B32),ISNUMBER(C85)),График!B32-C85,"")</f>
        <v/>
      </c>
    </row>
    <row r="86">
      <c r="A86" s="14">
        <f>График!A33</f>
        <v/>
      </c>
      <c r="B86" s="14">
        <f>График!B33</f>
        <v/>
      </c>
      <c r="C86" s="14">
        <f>IF(ISNUMBER(График!B33),$A$80*График!A33^3+$B$80*График!A33^2+$C$80*График!A33+$D$80,"")</f>
        <v/>
      </c>
      <c r="D86" s="14">
        <f>IF(AND(ISNUMBER(График!B33),ISNUMBER(C86)),График!B33-C86,"")</f>
        <v/>
      </c>
    </row>
    <row r="87">
      <c r="A87" s="14">
        <f>График!A34</f>
        <v/>
      </c>
      <c r="B87" s="14">
        <f>График!B34</f>
        <v/>
      </c>
      <c r="C87" s="14">
        <f>IF(ISNUMBER(График!B34),$A$80*График!A34^3+$B$80*График!A34^2+$C$80*График!A34+$D$80,"")</f>
        <v/>
      </c>
      <c r="D87" s="14">
        <f>IF(AND(ISNUMBER(График!B34),ISNUMBER(C87)),График!B34-C87,"")</f>
        <v/>
      </c>
    </row>
    <row r="88">
      <c r="A88" s="14">
        <f>График!A35</f>
        <v/>
      </c>
      <c r="B88" s="14">
        <f>График!B35</f>
        <v/>
      </c>
      <c r="C88" s="14">
        <f>IF(ISNUMBER(График!B35),$A$80*График!A35^3+$B$80*График!A35^2+$C$80*График!A35+$D$80,"")</f>
        <v/>
      </c>
      <c r="D88" s="14">
        <f>IF(AND(ISNUMBER(График!B35),ISNUMBER(C88)),График!B35-C88,"")</f>
        <v/>
      </c>
    </row>
    <row r="89">
      <c r="A89" s="14">
        <f>График!A36</f>
        <v/>
      </c>
      <c r="B89" s="14">
        <f>График!B36</f>
        <v/>
      </c>
      <c r="C89" s="14">
        <f>IF(ISNUMBER(График!B36),$A$80*График!A36^3+$B$80*График!A36^2+$C$80*График!A36+$D$80,"")</f>
        <v/>
      </c>
      <c r="D89" s="14">
        <f>IF(AND(ISNUMBER(График!B36),ISNUMBER(C89)),График!B36-C89,"")</f>
        <v/>
      </c>
    </row>
    <row r="90">
      <c r="A90" s="14">
        <f>График!A37</f>
        <v/>
      </c>
      <c r="B90" s="14">
        <f>График!B37</f>
        <v/>
      </c>
      <c r="C90" s="14">
        <f>IF(ISNUMBER(График!B37),$A$80*График!A37^3+$B$80*График!A37^2+$C$80*График!A37+$D$80,"")</f>
        <v/>
      </c>
      <c r="D90" s="14">
        <f>IF(AND(ISNUMBER(График!B37),ISNUMBER(C90)),График!B37-C90,"")</f>
        <v/>
      </c>
    </row>
    <row r="91">
      <c r="A91" s="14">
        <f>График!A38</f>
        <v/>
      </c>
      <c r="B91" s="14">
        <f>График!B38</f>
        <v/>
      </c>
      <c r="C91" s="14">
        <f>IF(ISNUMBER(График!B38),$A$80*График!A38^3+$B$80*График!A38^2+$C$80*График!A38+$D$80,"")</f>
        <v/>
      </c>
      <c r="D91" s="14">
        <f>IF(AND(ISNUMBER(График!B38),ISNUMBER(C91)),График!B38-C91,"")</f>
        <v/>
      </c>
    </row>
    <row r="92">
      <c r="A92" s="14">
        <f>График!A39</f>
        <v/>
      </c>
      <c r="B92" s="14">
        <f>График!B39</f>
        <v/>
      </c>
      <c r="C92" s="14">
        <f>IF(ISNUMBER(График!B39),$A$80*График!A39^3+$B$80*График!A39^2+$C$80*График!A39+$D$80,"")</f>
        <v/>
      </c>
      <c r="D92" s="14">
        <f>IF(AND(ISNUMBER(График!B39),ISNUMBER(C92)),График!B39-C92,"")</f>
        <v/>
      </c>
    </row>
    <row r="93">
      <c r="A93" s="14">
        <f>График!A40</f>
        <v/>
      </c>
      <c r="B93" s="14">
        <f>График!B40</f>
        <v/>
      </c>
      <c r="C93" s="14">
        <f>IF(ISNUMBER(График!B40),$A$80*График!A40^3+$B$80*График!A40^2+$C$80*График!A40+$D$80,"")</f>
        <v/>
      </c>
      <c r="D93" s="14">
        <f>IF(AND(ISNUMBER(График!B40),ISNUMBER(C93)),График!B40-C93,"")</f>
        <v/>
      </c>
    </row>
    <row r="94">
      <c r="A94" s="14">
        <f>График!A41</f>
        <v/>
      </c>
      <c r="B94" s="14">
        <f>График!B41</f>
        <v/>
      </c>
      <c r="C94" s="14">
        <f>IF(ISNUMBER(График!B41),$A$80*График!A41^3+$B$80*График!A41^2+$C$80*График!A41+$D$80,"")</f>
        <v/>
      </c>
      <c r="D94" s="14">
        <f>IF(AND(ISNUMBER(График!B41),ISNUMBER(C94)),График!B41-C94,"")</f>
        <v/>
      </c>
    </row>
    <row r="95">
      <c r="A95" s="14">
        <f>График!A42</f>
        <v/>
      </c>
      <c r="B95" s="14">
        <f>График!B42</f>
        <v/>
      </c>
      <c r="C95" s="14">
        <f>IF(ISNUMBER(График!B42),$A$80*График!A42^3+$B$80*График!A42^2+$C$80*График!A42+$D$80,"")</f>
        <v/>
      </c>
      <c r="D95" s="14">
        <f>IF(AND(ISNUMBER(График!B42),ISNUMBER(C95)),График!B42-C95,"")</f>
        <v/>
      </c>
    </row>
    <row r="96">
      <c r="A96" s="14">
        <f>График!A43</f>
        <v/>
      </c>
      <c r="B96" s="14">
        <f>График!B43</f>
        <v/>
      </c>
      <c r="C96" s="14">
        <f>IF(ISNUMBER(График!B43),$A$80*График!A43^3+$B$80*График!A43^2+$C$80*График!A43+$D$80,"")</f>
        <v/>
      </c>
      <c r="D96" s="14">
        <f>IF(AND(ISNUMBER(График!B43),ISNUMBER(C96)),График!B43-C96,"")</f>
        <v/>
      </c>
    </row>
    <row r="97">
      <c r="A97" s="14">
        <f>График!A44</f>
        <v/>
      </c>
      <c r="B97" s="14">
        <f>График!B44</f>
        <v/>
      </c>
      <c r="C97" s="14">
        <f>IF(ISNUMBER(График!B44),$A$80*График!A44^3+$B$80*График!A44^2+$C$80*График!A44+$D$80,"")</f>
        <v/>
      </c>
      <c r="D97" s="14">
        <f>IF(AND(ISNUMBER(График!B44),ISNUMBER(C97)),График!B44-C97,"")</f>
        <v/>
      </c>
    </row>
    <row r="98">
      <c r="A98" s="14">
        <f>График!A45</f>
        <v/>
      </c>
      <c r="B98" s="14">
        <f>График!B45</f>
        <v/>
      </c>
      <c r="C98" s="14">
        <f>IF(ISNUMBER(График!B45),$A$80*График!A45^3+$B$80*График!A45^2+$C$80*График!A45+$D$80,"")</f>
        <v/>
      </c>
      <c r="D98" s="14">
        <f>IF(AND(ISNUMBER(График!B45),ISNUMBER(C98)),График!B45-C98,"")</f>
        <v/>
      </c>
    </row>
    <row r="99">
      <c r="A99" s="14">
        <f>График!A46</f>
        <v/>
      </c>
      <c r="B99" s="14">
        <f>График!B46</f>
        <v/>
      </c>
      <c r="C99" s="14">
        <f>IF(ISNUMBER(График!B46),$A$80*График!A46^3+$B$80*График!A46^2+$C$80*График!A46+$D$80,"")</f>
        <v/>
      </c>
      <c r="D99" s="14">
        <f>IF(AND(ISNUMBER(График!B46),ISNUMBER(C99)),График!B46-C99,"")</f>
        <v/>
      </c>
    </row>
    <row r="100">
      <c r="A100" s="14">
        <f>График!A47</f>
        <v/>
      </c>
      <c r="B100" s="14">
        <f>График!B47</f>
        <v/>
      </c>
      <c r="C100" s="14">
        <f>IF(ISNUMBER(График!B47),$A$80*График!A47^3+$B$80*График!A47^2+$C$80*График!A47+$D$80,"")</f>
        <v/>
      </c>
      <c r="D100" s="14">
        <f>IF(AND(ISNUMBER(График!B47),ISNUMBER(C100)),График!B47-C100,"")</f>
        <v/>
      </c>
    </row>
    <row r="101">
      <c r="A101" s="14">
        <f>График!A48</f>
        <v/>
      </c>
      <c r="B101" s="14">
        <f>График!B48</f>
        <v/>
      </c>
      <c r="C101" s="14">
        <f>IF(ISNUMBER(График!B48),$A$80*График!A48^3+$B$80*График!A48^2+$C$80*График!A48+$D$80,"")</f>
        <v/>
      </c>
      <c r="D101" s="14">
        <f>IF(AND(ISNUMBER(График!B48),ISNUMBER(C101)),График!B48-C101,"")</f>
        <v/>
      </c>
    </row>
    <row r="102">
      <c r="A102" s="14">
        <f>График!A49</f>
        <v/>
      </c>
      <c r="B102" s="14">
        <f>График!B49</f>
        <v/>
      </c>
      <c r="C102" s="14">
        <f>IF(ISNUMBER(График!B49),$A$80*График!A49^3+$B$80*График!A49^2+$C$80*График!A49+$D$80,"")</f>
        <v/>
      </c>
      <c r="D102" s="14">
        <f>IF(AND(ISNUMBER(График!B49),ISNUMBER(C102)),График!B49-C102,"")</f>
        <v/>
      </c>
    </row>
    <row r="103">
      <c r="A103" s="20" t="inlineStr">
        <is>
          <t>R² (T_НД vs полином Ветки 2):</t>
        </is>
      </c>
      <c r="B103" s="21">
        <f>RSQ(B82:B102,C82:C102)</f>
        <v/>
      </c>
    </row>
    <row r="104">
      <c r="A104" s="17" t="inlineStr">
        <is>
          <t>ВТОРАЯ модель построена по фактически введённым точкам Ветки 2 (только строки, где есть и Vср, и T_НД; пары собраны во вспомогательные колонки A/B на листе «График» без пустот). Пока не введены данные — коэффициенты пусты (LINEST по пустому диапазону). Ветка 2 независима от Ветки 1.</t>
        </is>
      </c>
    </row>
  </sheetData>
  <conditionalFormatting sqref="H2:H21">
    <cfRule type="cellIs" priority="1" operator="greaterThan" dxfId="0">
      <formula>I2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2" customWidth="1" min="1" max="1"/>
    <col width="12" customWidth="1" min="2" max="4"/>
  </cols>
  <sheetData>
    <row r="1">
      <c r="A1" s="1" t="inlineStr">
        <is>
          <t>ИТОГ расчёта D86</t>
        </is>
      </c>
    </row>
    <row r="2">
      <c r="A2" s="3" t="inlineStr">
        <is>
          <t>Давление, мм рт.ст.</t>
        </is>
      </c>
      <c r="B2" s="6">
        <f>Ввод!B1</f>
        <v/>
      </c>
    </row>
    <row r="3">
      <c r="A3" s="3" t="inlineStr">
        <is>
          <t>Объём образца, мл</t>
        </is>
      </c>
      <c r="B3" s="6">
        <f>Ввод!G1</f>
        <v/>
      </c>
    </row>
    <row r="5">
      <c r="A5" s="1" t="inlineStr">
        <is>
          <t>% отгона</t>
        </is>
      </c>
      <c r="B5" s="1" t="inlineStr">
        <is>
          <t>T1</t>
        </is>
      </c>
      <c r="C5" s="1" t="inlineStr">
        <is>
          <t>T2</t>
        </is>
      </c>
      <c r="D5" s="1" t="inlineStr">
        <is>
          <t>T_corr</t>
        </is>
      </c>
      <c r="E5" s="1" t="inlineStr">
        <is>
          <t>r</t>
        </is>
      </c>
      <c r="F5" s="1" t="inlineStr">
        <is>
          <t>R</t>
        </is>
      </c>
      <c r="G5" s="1" t="inlineStr">
        <is>
          <t>Статус</t>
        </is>
      </c>
    </row>
    <row r="6">
      <c r="A6" s="6">
        <f>Расчёт!A2</f>
        <v/>
      </c>
      <c r="B6" s="6">
        <f>Расчёт!B2</f>
        <v/>
      </c>
      <c r="C6" s="6">
        <f>Расчёт!C2</f>
        <v/>
      </c>
      <c r="D6" s="6">
        <f>Расчёт!F2</f>
        <v/>
      </c>
      <c r="E6" s="6">
        <f>Расчёт!I2</f>
        <v/>
      </c>
      <c r="F6" s="6">
        <f>Расчёт!J2</f>
        <v/>
      </c>
      <c r="G6" s="6">
        <f>Расчёт!N2</f>
        <v/>
      </c>
    </row>
    <row r="7">
      <c r="A7" s="6">
        <f>Расчёт!A3</f>
        <v/>
      </c>
      <c r="B7" s="6">
        <f>Расчёт!B3</f>
        <v/>
      </c>
      <c r="C7" s="6">
        <f>Расчёт!C3</f>
        <v/>
      </c>
      <c r="D7" s="6">
        <f>Расчёт!F3</f>
        <v/>
      </c>
      <c r="E7" s="6">
        <f>Расчёт!I3</f>
        <v/>
      </c>
      <c r="F7" s="6">
        <f>Расчёт!J3</f>
        <v/>
      </c>
      <c r="G7" s="6">
        <f>Расчёт!N3</f>
        <v/>
      </c>
    </row>
    <row r="8">
      <c r="A8" s="6">
        <f>Расчёт!A4</f>
        <v/>
      </c>
      <c r="B8" s="6">
        <f>Расчёт!B4</f>
        <v/>
      </c>
      <c r="C8" s="6">
        <f>Расчёт!C4</f>
        <v/>
      </c>
      <c r="D8" s="6">
        <f>Расчёт!F4</f>
        <v/>
      </c>
      <c r="E8" s="6">
        <f>Расчёт!I4</f>
        <v/>
      </c>
      <c r="F8" s="6">
        <f>Расчёт!J4</f>
        <v/>
      </c>
      <c r="G8" s="6">
        <f>Расчёт!N4</f>
        <v/>
      </c>
    </row>
    <row r="9">
      <c r="A9" s="6">
        <f>Расчёт!A5</f>
        <v/>
      </c>
      <c r="B9" s="6">
        <f>Расчёт!B5</f>
        <v/>
      </c>
      <c r="C9" s="6">
        <f>Расчёт!C5</f>
        <v/>
      </c>
      <c r="D9" s="6">
        <f>Расчёт!F5</f>
        <v/>
      </c>
      <c r="E9" s="6">
        <f>Расчёт!I5</f>
        <v/>
      </c>
      <c r="F9" s="6">
        <f>Расчёт!J5</f>
        <v/>
      </c>
      <c r="G9" s="6">
        <f>Расчёт!N5</f>
        <v/>
      </c>
    </row>
    <row r="10">
      <c r="A10" s="6">
        <f>Расчёт!A6</f>
        <v/>
      </c>
      <c r="B10" s="6">
        <f>Расчёт!B6</f>
        <v/>
      </c>
      <c r="C10" s="6">
        <f>Расчёт!C6</f>
        <v/>
      </c>
      <c r="D10" s="6">
        <f>Расчёт!F6</f>
        <v/>
      </c>
      <c r="E10" s="6">
        <f>Расчёт!I6</f>
        <v/>
      </c>
      <c r="F10" s="6">
        <f>Расчёт!J6</f>
        <v/>
      </c>
      <c r="G10" s="6">
        <f>Расчёт!N6</f>
        <v/>
      </c>
    </row>
    <row r="11">
      <c r="A11" s="6">
        <f>Расчёт!A7</f>
        <v/>
      </c>
      <c r="B11" s="6">
        <f>Расчёт!B7</f>
        <v/>
      </c>
      <c r="C11" s="6">
        <f>Расчёт!C7</f>
        <v/>
      </c>
      <c r="D11" s="6">
        <f>Расчёт!F7</f>
        <v/>
      </c>
      <c r="E11" s="6">
        <f>Расчёт!I7</f>
        <v/>
      </c>
      <c r="F11" s="6">
        <f>Расчёт!J7</f>
        <v/>
      </c>
      <c r="G11" s="6">
        <f>Расчёт!N7</f>
        <v/>
      </c>
    </row>
    <row r="12">
      <c r="A12" s="6">
        <f>Расчёт!A8</f>
        <v/>
      </c>
      <c r="B12" s="6">
        <f>Расчёт!B8</f>
        <v/>
      </c>
      <c r="C12" s="6">
        <f>Расчёт!C8</f>
        <v/>
      </c>
      <c r="D12" s="6">
        <f>Расчёт!F8</f>
        <v/>
      </c>
      <c r="E12" s="6">
        <f>Расчёт!I8</f>
        <v/>
      </c>
      <c r="F12" s="6">
        <f>Расчёт!J8</f>
        <v/>
      </c>
      <c r="G12" s="6">
        <f>Расчёт!N8</f>
        <v/>
      </c>
    </row>
    <row r="13">
      <c r="A13" s="6">
        <f>Расчёт!A9</f>
        <v/>
      </c>
      <c r="B13" s="6">
        <f>Расчёт!B9</f>
        <v/>
      </c>
      <c r="C13" s="6">
        <f>Расчёт!C9</f>
        <v/>
      </c>
      <c r="D13" s="6">
        <f>Расчёт!F9</f>
        <v/>
      </c>
      <c r="E13" s="6">
        <f>Расчёт!I9</f>
        <v/>
      </c>
      <c r="F13" s="6">
        <f>Расчёт!J9</f>
        <v/>
      </c>
      <c r="G13" s="6">
        <f>Расчёт!N9</f>
        <v/>
      </c>
    </row>
    <row r="14">
      <c r="A14" s="6">
        <f>Расчёт!A10</f>
        <v/>
      </c>
      <c r="B14" s="6">
        <f>Расчёт!B10</f>
        <v/>
      </c>
      <c r="C14" s="6">
        <f>Расчёт!C10</f>
        <v/>
      </c>
      <c r="D14" s="6">
        <f>Расчёт!F10</f>
        <v/>
      </c>
      <c r="E14" s="6">
        <f>Расчёт!I10</f>
        <v/>
      </c>
      <c r="F14" s="6">
        <f>Расчёт!J10</f>
        <v/>
      </c>
      <c r="G14" s="6">
        <f>Расчёт!N10</f>
        <v/>
      </c>
    </row>
    <row r="15">
      <c r="A15" s="6">
        <f>Расчёт!A11</f>
        <v/>
      </c>
      <c r="B15" s="6">
        <f>Расчёт!B11</f>
        <v/>
      </c>
      <c r="C15" s="6">
        <f>Расчёт!C11</f>
        <v/>
      </c>
      <c r="D15" s="6">
        <f>Расчёт!F11</f>
        <v/>
      </c>
      <c r="E15" s="6">
        <f>Расчёт!I11</f>
        <v/>
      </c>
      <c r="F15" s="6">
        <f>Расчёт!J11</f>
        <v/>
      </c>
      <c r="G15" s="6">
        <f>Расчёт!N11</f>
        <v/>
      </c>
    </row>
    <row r="16">
      <c r="A16" s="6">
        <f>Расчёт!A12</f>
        <v/>
      </c>
      <c r="B16" s="6">
        <f>Расчёт!B12</f>
        <v/>
      </c>
      <c r="C16" s="6">
        <f>Расчёт!C12</f>
        <v/>
      </c>
      <c r="D16" s="6">
        <f>Расчёт!F12</f>
        <v/>
      </c>
      <c r="E16" s="6">
        <f>Расчёт!I12</f>
        <v/>
      </c>
      <c r="F16" s="6">
        <f>Расчёт!J12</f>
        <v/>
      </c>
      <c r="G16" s="6">
        <f>Расчёт!N12</f>
        <v/>
      </c>
    </row>
    <row r="17">
      <c r="A17" s="6">
        <f>Расчёт!A13</f>
        <v/>
      </c>
      <c r="B17" s="6">
        <f>Расчёт!B13</f>
        <v/>
      </c>
      <c r="C17" s="6">
        <f>Расчёт!C13</f>
        <v/>
      </c>
      <c r="D17" s="6">
        <f>Расчёт!F13</f>
        <v/>
      </c>
      <c r="E17" s="6">
        <f>Расчёт!I13</f>
        <v/>
      </c>
      <c r="F17" s="6">
        <f>Расчёт!J13</f>
        <v/>
      </c>
      <c r="G17" s="6">
        <f>Расчёт!N13</f>
        <v/>
      </c>
    </row>
    <row r="18">
      <c r="A18" s="6">
        <f>Расчёт!A14</f>
        <v/>
      </c>
      <c r="B18" s="6">
        <f>Расчёт!B14</f>
        <v/>
      </c>
      <c r="C18" s="6">
        <f>Расчёт!C14</f>
        <v/>
      </c>
      <c r="D18" s="6">
        <f>Расчёт!F14</f>
        <v/>
      </c>
      <c r="E18" s="6">
        <f>Расчёт!I14</f>
        <v/>
      </c>
      <c r="F18" s="6">
        <f>Расчёт!J14</f>
        <v/>
      </c>
      <c r="G18" s="6">
        <f>Расчёт!N14</f>
        <v/>
      </c>
    </row>
    <row r="19">
      <c r="A19" s="6">
        <f>Расчёт!A15</f>
        <v/>
      </c>
      <c r="B19" s="6">
        <f>Расчёт!B15</f>
        <v/>
      </c>
      <c r="C19" s="6">
        <f>Расчёт!C15</f>
        <v/>
      </c>
      <c r="D19" s="6">
        <f>Расчёт!F15</f>
        <v/>
      </c>
      <c r="E19" s="6">
        <f>Расчёт!I15</f>
        <v/>
      </c>
      <c r="F19" s="6">
        <f>Расчёт!J15</f>
        <v/>
      </c>
      <c r="G19" s="6">
        <f>Расчёт!N15</f>
        <v/>
      </c>
    </row>
    <row r="20">
      <c r="A20" s="6">
        <f>Расчёт!A16</f>
        <v/>
      </c>
      <c r="B20" s="6">
        <f>Расчёт!B16</f>
        <v/>
      </c>
      <c r="C20" s="6">
        <f>Расчёт!C16</f>
        <v/>
      </c>
      <c r="D20" s="6">
        <f>Расчёт!F16</f>
        <v/>
      </c>
      <c r="E20" s="6">
        <f>Расчёт!I16</f>
        <v/>
      </c>
      <c r="F20" s="6">
        <f>Расчёт!J16</f>
        <v/>
      </c>
      <c r="G20" s="6">
        <f>Расчёт!N16</f>
        <v/>
      </c>
    </row>
    <row r="21">
      <c r="A21" s="6">
        <f>Расчёт!A17</f>
        <v/>
      </c>
      <c r="B21" s="6">
        <f>Расчёт!B17</f>
        <v/>
      </c>
      <c r="C21" s="6">
        <f>Расчёт!C17</f>
        <v/>
      </c>
      <c r="D21" s="6">
        <f>Расчёт!F17</f>
        <v/>
      </c>
      <c r="E21" s="6">
        <f>Расчёт!I17</f>
        <v/>
      </c>
      <c r="F21" s="6">
        <f>Расчёт!J17</f>
        <v/>
      </c>
      <c r="G21" s="6">
        <f>Расчёт!N17</f>
        <v/>
      </c>
    </row>
    <row r="22">
      <c r="A22" s="6">
        <f>Расчёт!A18</f>
        <v/>
      </c>
      <c r="B22" s="6">
        <f>Расчёт!B18</f>
        <v/>
      </c>
      <c r="C22" s="6">
        <f>Расчёт!C18</f>
        <v/>
      </c>
      <c r="D22" s="6">
        <f>Расчёт!F18</f>
        <v/>
      </c>
      <c r="E22" s="6">
        <f>Расчёт!I18</f>
        <v/>
      </c>
      <c r="F22" s="6">
        <f>Расчёт!J18</f>
        <v/>
      </c>
      <c r="G22" s="6">
        <f>Расчёт!N18</f>
        <v/>
      </c>
    </row>
    <row r="23">
      <c r="A23" s="6">
        <f>Расчёт!A19</f>
        <v/>
      </c>
      <c r="B23" s="6">
        <f>Расчёт!B19</f>
        <v/>
      </c>
      <c r="C23" s="6">
        <f>Расчёт!C19</f>
        <v/>
      </c>
      <c r="D23" s="6">
        <f>Расчёт!F19</f>
        <v/>
      </c>
      <c r="E23" s="6">
        <f>Расчёт!I19</f>
        <v/>
      </c>
      <c r="F23" s="6">
        <f>Расчёт!J19</f>
        <v/>
      </c>
      <c r="G23" s="6">
        <f>Расчёт!N19</f>
        <v/>
      </c>
    </row>
    <row r="24">
      <c r="A24" s="6">
        <f>Расчёт!A20</f>
        <v/>
      </c>
      <c r="B24" s="6">
        <f>Расчёт!B20</f>
        <v/>
      </c>
      <c r="C24" s="6">
        <f>Расчёт!C20</f>
        <v/>
      </c>
      <c r="D24" s="6">
        <f>Расчёт!F20</f>
        <v/>
      </c>
      <c r="E24" s="6">
        <f>Расчёт!I20</f>
        <v/>
      </c>
      <c r="F24" s="6">
        <f>Расчёт!J20</f>
        <v/>
      </c>
      <c r="G24" s="6">
        <f>Расчёт!N20</f>
        <v/>
      </c>
    </row>
    <row r="25">
      <c r="A25" s="6">
        <f>Расчёт!A21</f>
        <v/>
      </c>
      <c r="B25" s="6">
        <f>Расчёт!B21</f>
        <v/>
      </c>
      <c r="C25" s="6">
        <f>Расчёт!C21</f>
        <v/>
      </c>
      <c r="D25" s="6">
        <f>Расчёт!F21</f>
        <v/>
      </c>
      <c r="E25" s="6">
        <f>Расчёт!I21</f>
        <v/>
      </c>
      <c r="F25" s="6">
        <f>Расчёт!J21</f>
        <v/>
      </c>
      <c r="G25" s="6">
        <f>Расчёт!N21</f>
        <v/>
      </c>
    </row>
    <row r="26">
      <c r="A26" s="6">
        <f>Расчёт!A22</f>
        <v/>
      </c>
      <c r="B26" s="6">
        <f>Расчёт!B22</f>
        <v/>
      </c>
      <c r="C26" s="6">
        <f>Расчёт!C22</f>
        <v/>
      </c>
      <c r="D26" s="6">
        <f>Расчёт!F22</f>
        <v/>
      </c>
      <c r="E26" s="6">
        <f>Расчёт!I22</f>
        <v/>
      </c>
      <c r="F26" s="6">
        <f>Расчёт!J22</f>
        <v/>
      </c>
      <c r="G26" s="6">
        <f>Расчёт!N22</f>
        <v/>
      </c>
    </row>
    <row r="28">
      <c r="A28" s="9" t="inlineStr">
        <is>
          <t>Обратный пересчёт T-&gt;V (коррекция давления ДО) и V-&gt;T (коррекция ПОСЛЕ) — в листе «Расчёт»</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9"/>
  <sheetViews>
    <sheetView tabSelected="1" topLeftCell="A37" workbookViewId="0">
      <selection activeCell="A1" sqref="A1"/>
    </sheetView>
  </sheetViews>
  <sheetFormatPr baseColWidth="8" defaultRowHeight="15"/>
  <sheetData>
    <row r="1">
      <c r="A1" t="inlineStr">
        <is>
          <t>Графики дистилляции (D86). Диаграмма 1 — Ветка 1 (% отгона → T_corr + полином); Диаграмма 2 — Ветка 2 (Vср, % → T_НД + полином).</t>
        </is>
      </c>
    </row>
    <row r="3">
      <c r="A3" t="inlineStr">
        <is>
          <t>% отгона</t>
        </is>
      </c>
      <c r="B3" t="inlineStr">
        <is>
          <t>T_corr (эксперимент)</t>
        </is>
      </c>
      <c r="C3" t="inlineStr">
        <is>
          <t>T_полином (аппроксимация)</t>
        </is>
      </c>
      <c r="E3" t="inlineStr">
        <is>
          <t>Vср, % (Ветка 2)</t>
        </is>
      </c>
      <c r="F3" t="inlineStr">
        <is>
          <t>T_НД, °C (из НД, при 760)</t>
        </is>
      </c>
      <c r="G3" t="inlineStr">
        <is>
          <t>T_полином Ветки 2 (аппроксимация)</t>
        </is>
      </c>
    </row>
    <row r="4">
      <c r="A4">
        <f>Расчёт!A2</f>
        <v/>
      </c>
      <c r="B4">
        <f>Расчёт!F2</f>
        <v/>
      </c>
      <c r="C4">
        <f>Расчёт!C54</f>
        <v/>
      </c>
      <c r="E4">
        <f>Расчёт!F27</f>
        <v/>
      </c>
      <c r="F4">
        <f>Расчёт!A27</f>
        <v/>
      </c>
      <c r="G4">
        <f>Расчёт!C81</f>
        <v/>
      </c>
    </row>
    <row r="5">
      <c r="A5">
        <f>Расчёт!A3</f>
        <v/>
      </c>
      <c r="B5">
        <f>Расчёт!F3</f>
        <v/>
      </c>
      <c r="C5">
        <f>Расчёт!C55</f>
        <v/>
      </c>
      <c r="E5">
        <f>Расчёт!F28</f>
        <v/>
      </c>
      <c r="F5">
        <f>Расчёт!A28</f>
        <v/>
      </c>
      <c r="G5">
        <f>Расчёт!C82</f>
        <v/>
      </c>
    </row>
    <row r="6">
      <c r="A6">
        <f>Расчёт!A4</f>
        <v/>
      </c>
      <c r="B6">
        <f>Расчёт!F4</f>
        <v/>
      </c>
      <c r="C6">
        <f>Расчёт!C56</f>
        <v/>
      </c>
      <c r="E6">
        <f>Расчёт!F29</f>
        <v/>
      </c>
      <c r="F6">
        <f>Расчёт!A29</f>
        <v/>
      </c>
      <c r="G6">
        <f>Расчёт!C83</f>
        <v/>
      </c>
    </row>
    <row r="7">
      <c r="A7">
        <f>Расчёт!A5</f>
        <v/>
      </c>
      <c r="B7">
        <f>Расчёт!F5</f>
        <v/>
      </c>
      <c r="C7">
        <f>Расчёт!C57</f>
        <v/>
      </c>
      <c r="E7">
        <f>Расчёт!F30</f>
        <v/>
      </c>
      <c r="F7">
        <f>Расчёт!A30</f>
        <v/>
      </c>
      <c r="G7">
        <f>Расчёт!C84</f>
        <v/>
      </c>
    </row>
    <row r="8">
      <c r="A8">
        <f>Расчёт!A6</f>
        <v/>
      </c>
      <c r="B8">
        <f>Расчёт!F6</f>
        <v/>
      </c>
      <c r="C8">
        <f>Расчёт!C58</f>
        <v/>
      </c>
      <c r="E8">
        <f>Расчёт!F31</f>
        <v/>
      </c>
      <c r="F8">
        <f>Расчёт!A31</f>
        <v/>
      </c>
      <c r="G8">
        <f>Расчёт!C85</f>
        <v/>
      </c>
    </row>
    <row r="9">
      <c r="A9">
        <f>Расчёт!A7</f>
        <v/>
      </c>
      <c r="B9">
        <f>Расчёт!F7</f>
        <v/>
      </c>
      <c r="C9">
        <f>Расчёт!C59</f>
        <v/>
      </c>
      <c r="E9">
        <f>Расчёт!F32</f>
        <v/>
      </c>
      <c r="F9">
        <f>Расчёт!A32</f>
        <v/>
      </c>
      <c r="G9">
        <f>Расчёт!C86</f>
        <v/>
      </c>
    </row>
    <row r="10">
      <c r="A10">
        <f>Расчёт!A8</f>
        <v/>
      </c>
      <c r="B10">
        <f>Расчёт!F8</f>
        <v/>
      </c>
      <c r="C10">
        <f>Расчёт!C60</f>
        <v/>
      </c>
      <c r="E10">
        <f>Расчёт!F33</f>
        <v/>
      </c>
      <c r="F10">
        <f>Расчёт!A33</f>
        <v/>
      </c>
      <c r="G10">
        <f>Расчёт!C87</f>
        <v/>
      </c>
    </row>
    <row r="11">
      <c r="A11">
        <f>Расчёт!A9</f>
        <v/>
      </c>
      <c r="B11">
        <f>Расчёт!F9</f>
        <v/>
      </c>
      <c r="C11">
        <f>Расчёт!C61</f>
        <v/>
      </c>
      <c r="E11">
        <f>Расчёт!F34</f>
        <v/>
      </c>
      <c r="F11">
        <f>Расчёт!A34</f>
        <v/>
      </c>
      <c r="G11">
        <f>Расчёт!C88</f>
        <v/>
      </c>
    </row>
    <row r="12">
      <c r="A12">
        <f>Расчёт!A10</f>
        <v/>
      </c>
      <c r="B12">
        <f>Расчёт!F10</f>
        <v/>
      </c>
      <c r="C12">
        <f>Расчёт!C62</f>
        <v/>
      </c>
      <c r="E12">
        <f>Расчёт!F35</f>
        <v/>
      </c>
      <c r="F12">
        <f>Расчёт!A35</f>
        <v/>
      </c>
      <c r="G12">
        <f>Расчёт!C89</f>
        <v/>
      </c>
    </row>
    <row r="13">
      <c r="A13">
        <f>Расчёт!A11</f>
        <v/>
      </c>
      <c r="B13">
        <f>Расчёт!F11</f>
        <v/>
      </c>
      <c r="C13">
        <f>Расчёт!C63</f>
        <v/>
      </c>
      <c r="E13">
        <f>Расчёт!F36</f>
        <v/>
      </c>
      <c r="F13">
        <f>Расчёт!A36</f>
        <v/>
      </c>
      <c r="G13">
        <f>Расчёт!C90</f>
        <v/>
      </c>
    </row>
    <row r="14">
      <c r="A14">
        <f>Расчёт!A12</f>
        <v/>
      </c>
      <c r="B14">
        <f>Расчёт!F12</f>
        <v/>
      </c>
      <c r="C14">
        <f>Расчёт!C64</f>
        <v/>
      </c>
      <c r="E14">
        <f>Расчёт!F37</f>
        <v/>
      </c>
      <c r="F14">
        <f>Расчёт!A37</f>
        <v/>
      </c>
      <c r="G14">
        <f>Расчёт!C91</f>
        <v/>
      </c>
    </row>
    <row r="15">
      <c r="A15">
        <f>Расчёт!A13</f>
        <v/>
      </c>
      <c r="B15">
        <f>Расчёт!F13</f>
        <v/>
      </c>
      <c r="C15">
        <f>Расчёт!C65</f>
        <v/>
      </c>
      <c r="E15">
        <f>Расчёт!F38</f>
        <v/>
      </c>
      <c r="F15">
        <f>Расчёт!A38</f>
        <v/>
      </c>
      <c r="G15">
        <f>Расчёт!C92</f>
        <v/>
      </c>
    </row>
    <row r="16">
      <c r="A16">
        <f>Расчёт!A14</f>
        <v/>
      </c>
      <c r="B16">
        <f>Расчёт!F14</f>
        <v/>
      </c>
      <c r="C16">
        <f>Расчёт!C66</f>
        <v/>
      </c>
      <c r="E16">
        <f>Расчёт!F39</f>
        <v/>
      </c>
      <c r="F16">
        <f>Расчёт!A39</f>
        <v/>
      </c>
      <c r="G16">
        <f>Расчёт!C93</f>
        <v/>
      </c>
    </row>
    <row r="17">
      <c r="A17">
        <f>Расчёт!A15</f>
        <v/>
      </c>
      <c r="B17">
        <f>Расчёт!F15</f>
        <v/>
      </c>
      <c r="C17">
        <f>Расчёт!C67</f>
        <v/>
      </c>
      <c r="E17">
        <f>Расчёт!F40</f>
        <v/>
      </c>
      <c r="F17">
        <f>Расчёт!A40</f>
        <v/>
      </c>
      <c r="G17">
        <f>Расчёт!C94</f>
        <v/>
      </c>
    </row>
    <row r="18">
      <c r="A18">
        <f>Расчёт!A16</f>
        <v/>
      </c>
      <c r="B18">
        <f>Расчёт!F16</f>
        <v/>
      </c>
      <c r="C18">
        <f>Расчёт!C68</f>
        <v/>
      </c>
      <c r="E18">
        <f>Расчёт!F41</f>
        <v/>
      </c>
      <c r="F18">
        <f>Расчёт!A41</f>
        <v/>
      </c>
      <c r="G18">
        <f>Расчёт!C95</f>
        <v/>
      </c>
    </row>
    <row r="19">
      <c r="A19">
        <f>Расчёт!A17</f>
        <v/>
      </c>
      <c r="B19">
        <f>Расчёт!F17</f>
        <v/>
      </c>
      <c r="C19">
        <f>Расчёт!C69</f>
        <v/>
      </c>
      <c r="E19">
        <f>Расчёт!F42</f>
        <v/>
      </c>
      <c r="F19">
        <f>Расчёт!A42</f>
        <v/>
      </c>
      <c r="G19">
        <f>Расчёт!C96</f>
        <v/>
      </c>
    </row>
    <row r="20">
      <c r="A20">
        <f>Расчёт!A18</f>
        <v/>
      </c>
      <c r="B20">
        <f>Расчёт!F18</f>
        <v/>
      </c>
      <c r="C20">
        <f>Расчёт!C70</f>
        <v/>
      </c>
      <c r="E20">
        <f>Расчёт!F43</f>
        <v/>
      </c>
      <c r="F20">
        <f>Расчёт!A43</f>
        <v/>
      </c>
      <c r="G20">
        <f>Расчёт!C97</f>
        <v/>
      </c>
    </row>
    <row r="21">
      <c r="A21">
        <f>Расчёт!A19</f>
        <v/>
      </c>
      <c r="B21">
        <f>Расчёт!F19</f>
        <v/>
      </c>
      <c r="C21">
        <f>Расчёт!C71</f>
        <v/>
      </c>
      <c r="E21">
        <f>Расчёт!F44</f>
        <v/>
      </c>
      <c r="F21">
        <f>Расчёт!A44</f>
        <v/>
      </c>
      <c r="G21">
        <f>Расчёт!C98</f>
        <v/>
      </c>
    </row>
    <row r="22">
      <c r="A22">
        <f>Расчёт!A20</f>
        <v/>
      </c>
      <c r="B22">
        <f>Расчёт!F20</f>
        <v/>
      </c>
      <c r="C22">
        <f>Расчёт!C72</f>
        <v/>
      </c>
      <c r="E22">
        <f>Расчёт!F45</f>
        <v/>
      </c>
      <c r="F22">
        <f>Расчёт!A45</f>
        <v/>
      </c>
      <c r="G22">
        <f>Расчёт!C99</f>
        <v/>
      </c>
    </row>
    <row r="23">
      <c r="A23">
        <f>Расчёт!A21</f>
        <v/>
      </c>
      <c r="B23">
        <f>Расчёт!F21</f>
        <v/>
      </c>
      <c r="C23">
        <f>Расчёт!C73</f>
        <v/>
      </c>
      <c r="E23">
        <f>Расчёт!F46</f>
        <v/>
      </c>
      <c r="F23">
        <f>Расчёт!A46</f>
        <v/>
      </c>
      <c r="G23">
        <f>Расчёт!C100</f>
        <v/>
      </c>
    </row>
    <row r="24">
      <c r="A24">
        <f>Расчёт!A22</f>
        <v/>
      </c>
      <c r="B24">
        <f>Расчёт!F22</f>
        <v/>
      </c>
      <c r="C24">
        <f>Расчёт!C74</f>
        <v/>
      </c>
      <c r="E24">
        <f>Расчёт!F47</f>
        <v/>
      </c>
      <c r="F24">
        <f>Расчёт!A47</f>
        <v/>
      </c>
      <c r="G24">
        <f>Расчёт!C101</f>
        <v/>
      </c>
    </row>
    <row r="26">
      <c r="A26" s="22" t="inlineStr">
        <is>
          <t>R² (полином Ветки 1, из листа «Расчёт»):</t>
        </is>
      </c>
      <c r="B26">
        <f>Расчёт!B75</f>
        <v/>
      </c>
      <c r="E26" s="22" t="inlineStr">
        <is>
          <t>R² (полином Ветки 2, из листа «Расчёт»):</t>
        </is>
      </c>
      <c r="F26">
        <f>Расчёт!B102</f>
        <v/>
      </c>
    </row>
    <row r="27">
      <c r="A27" s="22" t="inlineStr">
        <is>
          <t>ВСПОМОГАТЕЛЬНАЯ ОБЛАСТЬ (Ветка 2): пары Vср → T_НД, собранные БЕЗ ПУСТОТ (для LINEST второй модели и второй диаграммы)</t>
        </is>
      </c>
    </row>
    <row r="28">
      <c r="A28" s="12" t="inlineStr">
        <is>
          <t>Vср, % (без пустот)</t>
        </is>
      </c>
      <c r="B28" s="12" t="inlineStr">
        <is>
          <t>T_НД, °C (без пустот)</t>
        </is>
      </c>
    </row>
    <row r="29">
      <c r="A29" s="14">
        <f>IFERROR(INDEX(Расчёт!$F$27:$F$47,SMALL(IF(ISNUMBER(Расчёт!$F$27:$F$47),ROW(Расчёт!$F$27:$F$47)-ROW(Расчёт!$F$27)+1),1)),"")</f>
        <v/>
      </c>
      <c r="B29" s="14">
        <f>IFERROR(INDEX(Расчёт!$A$27:$A$47,SMALL(IF(ISNUMBER(Расчёт!$F$27:$F$47),ROW(Расчёт!$F$27:$F$47)-ROW(Расчёт!$F$27)+1),1)),"")</f>
        <v/>
      </c>
    </row>
    <row r="30">
      <c r="A30" s="14">
        <f>IFERROR(INDEX(Расчёт!$F$27:$F$47,SMALL(IF(ISNUMBER(Расчёт!$F$27:$F$47),ROW(Расчёт!$F$27:$F$47)-ROW(Расчёт!$F$27)+1),2)),"")</f>
        <v/>
      </c>
      <c r="B30" s="14">
        <f>IFERROR(INDEX(Расчёт!$A$27:$A$47,SMALL(IF(ISNUMBER(Расчёт!$F$27:$F$47),ROW(Расчёт!$F$27:$F$47)-ROW(Расчёт!$F$27)+1),2)),"")</f>
        <v/>
      </c>
    </row>
    <row r="31">
      <c r="A31" s="14">
        <f>IFERROR(INDEX(Расчёт!$F$27:$F$47,SMALL(IF(ISNUMBER(Расчёт!$F$27:$F$47),ROW(Расчёт!$F$27:$F$47)-ROW(Расчёт!$F$27)+1),3)),"")</f>
        <v/>
      </c>
      <c r="B31" s="14">
        <f>IFERROR(INDEX(Расчёт!$A$27:$A$47,SMALL(IF(ISNUMBER(Расчёт!$F$27:$F$47),ROW(Расчёт!$F$27:$F$47)-ROW(Расчёт!$F$27)+1),3)),"")</f>
        <v/>
      </c>
    </row>
    <row r="32">
      <c r="A32" s="14">
        <f>IFERROR(INDEX(Расчёт!$F$27:$F$47,SMALL(IF(ISNUMBER(Расчёт!$F$27:$F$47),ROW(Расчёт!$F$27:$F$47)-ROW(Расчёт!$F$27)+1),4)),"")</f>
        <v/>
      </c>
      <c r="B32" s="14">
        <f>IFERROR(INDEX(Расчёт!$A$27:$A$47,SMALL(IF(ISNUMBER(Расчёт!$F$27:$F$47),ROW(Расчёт!$F$27:$F$47)-ROW(Расчёт!$F$27)+1),4)),"")</f>
        <v/>
      </c>
    </row>
    <row r="33">
      <c r="A33" s="14">
        <f>IFERROR(INDEX(Расчёт!$F$27:$F$47,SMALL(IF(ISNUMBER(Расчёт!$F$27:$F$47),ROW(Расчёт!$F$27:$F$47)-ROW(Расчёт!$F$27)+1),5)),"")</f>
        <v/>
      </c>
      <c r="B33" s="14">
        <f>IFERROR(INDEX(Расчёт!$A$27:$A$47,SMALL(IF(ISNUMBER(Расчёт!$F$27:$F$47),ROW(Расчёт!$F$27:$F$47)-ROW(Расчёт!$F$27)+1),5)),"")</f>
        <v/>
      </c>
    </row>
    <row r="34">
      <c r="A34" s="14">
        <f>IFERROR(INDEX(Расчёт!$F$27:$F$47,SMALL(IF(ISNUMBER(Расчёт!$F$27:$F$47),ROW(Расчёт!$F$27:$F$47)-ROW(Расчёт!$F$27)+1),6)),"")</f>
        <v/>
      </c>
      <c r="B34" s="14">
        <f>IFERROR(INDEX(Расчёт!$A$27:$A$47,SMALL(IF(ISNUMBER(Расчёт!$F$27:$F$47),ROW(Расчёт!$F$27:$F$47)-ROW(Расчёт!$F$27)+1),6)),"")</f>
        <v/>
      </c>
    </row>
    <row r="35">
      <c r="A35" s="14">
        <f>IFERROR(INDEX(Расчёт!$F$27:$F$47,SMALL(IF(ISNUMBER(Расчёт!$F$27:$F$47),ROW(Расчёт!$F$27:$F$47)-ROW(Расчёт!$F$27)+1),7)),"")</f>
        <v/>
      </c>
      <c r="B35" s="14">
        <f>IFERROR(INDEX(Расчёт!$A$27:$A$47,SMALL(IF(ISNUMBER(Расчёт!$F$27:$F$47),ROW(Расчёт!$F$27:$F$47)-ROW(Расчёт!$F$27)+1),7)),"")</f>
        <v/>
      </c>
    </row>
    <row r="36">
      <c r="A36" s="14">
        <f>IFERROR(INDEX(Расчёт!$F$27:$F$47,SMALL(IF(ISNUMBER(Расчёт!$F$27:$F$47),ROW(Расчёт!$F$27:$F$47)-ROW(Расчёт!$F$27)+1),8)),"")</f>
        <v/>
      </c>
      <c r="B36" s="14">
        <f>IFERROR(INDEX(Расчёт!$A$27:$A$47,SMALL(IF(ISNUMBER(Расчёт!$F$27:$F$47),ROW(Расчёт!$F$27:$F$47)-ROW(Расчёт!$F$27)+1),8)),"")</f>
        <v/>
      </c>
    </row>
    <row r="37">
      <c r="A37" s="14">
        <f>IFERROR(INDEX(Расчёт!$F$27:$F$47,SMALL(IF(ISNUMBER(Расчёт!$F$27:$F$47),ROW(Расчёт!$F$27:$F$47)-ROW(Расчёт!$F$27)+1),9)),"")</f>
        <v/>
      </c>
      <c r="B37" s="14">
        <f>IFERROR(INDEX(Расчёт!$A$27:$A$47,SMALL(IF(ISNUMBER(Расчёт!$F$27:$F$47),ROW(Расчёт!$F$27:$F$47)-ROW(Расчёт!$F$27)+1),9)),"")</f>
        <v/>
      </c>
    </row>
    <row r="38">
      <c r="A38" s="14">
        <f>IFERROR(INDEX(Расчёт!$F$27:$F$47,SMALL(IF(ISNUMBER(Расчёт!$F$27:$F$47),ROW(Расчёт!$F$27:$F$47)-ROW(Расчёт!$F$27)+1),10)),"")</f>
        <v/>
      </c>
      <c r="B38" s="14">
        <f>IFERROR(INDEX(Расчёт!$A$27:$A$47,SMALL(IF(ISNUMBER(Расчёт!$F$27:$F$47),ROW(Расчёт!$F$27:$F$47)-ROW(Расчёт!$F$27)+1),10)),"")</f>
        <v/>
      </c>
    </row>
    <row r="39">
      <c r="A39" s="14">
        <f>IFERROR(INDEX(Расчёт!$F$27:$F$47,SMALL(IF(ISNUMBER(Расчёт!$F$27:$F$47),ROW(Расчёт!$F$27:$F$47)-ROW(Расчёт!$F$27)+1),11)),"")</f>
        <v/>
      </c>
      <c r="B39" s="14">
        <f>IFERROR(INDEX(Расчёт!$A$27:$A$47,SMALL(IF(ISNUMBER(Расчёт!$F$27:$F$47),ROW(Расчёт!$F$27:$F$47)-ROW(Расчёт!$F$27)+1),11)),"")</f>
        <v/>
      </c>
    </row>
    <row r="40">
      <c r="A40" s="14">
        <f>IFERROR(INDEX(Расчёт!$F$27:$F$47,SMALL(IF(ISNUMBER(Расчёт!$F$27:$F$47),ROW(Расчёт!$F$27:$F$47)-ROW(Расчёт!$F$27)+1),12)),"")</f>
        <v/>
      </c>
      <c r="B40" s="14">
        <f>IFERROR(INDEX(Расчёт!$A$27:$A$47,SMALL(IF(ISNUMBER(Расчёт!$F$27:$F$47),ROW(Расчёт!$F$27:$F$47)-ROW(Расчёт!$F$27)+1),12)),"")</f>
        <v/>
      </c>
    </row>
    <row r="41">
      <c r="A41" s="14">
        <f>IFERROR(INDEX(Расчёт!$F$27:$F$47,SMALL(IF(ISNUMBER(Расчёт!$F$27:$F$47),ROW(Расчёт!$F$27:$F$47)-ROW(Расчёт!$F$27)+1),13)),"")</f>
        <v/>
      </c>
      <c r="B41" s="14">
        <f>IFERROR(INDEX(Расчёт!$A$27:$A$47,SMALL(IF(ISNUMBER(Расчёт!$F$27:$F$47),ROW(Расчёт!$F$27:$F$47)-ROW(Расчёт!$F$27)+1),13)),"")</f>
        <v/>
      </c>
    </row>
    <row r="42">
      <c r="A42" s="14">
        <f>IFERROR(INDEX(Расчёт!$F$27:$F$47,SMALL(IF(ISNUMBER(Расчёт!$F$27:$F$47),ROW(Расчёт!$F$27:$F$47)-ROW(Расчёт!$F$27)+1),14)),"")</f>
        <v/>
      </c>
      <c r="B42" s="14">
        <f>IFERROR(INDEX(Расчёт!$A$27:$A$47,SMALL(IF(ISNUMBER(Расчёт!$F$27:$F$47),ROW(Расчёт!$F$27:$F$47)-ROW(Расчёт!$F$27)+1),14)),"")</f>
        <v/>
      </c>
    </row>
    <row r="43">
      <c r="A43" s="14">
        <f>IFERROR(INDEX(Расчёт!$F$27:$F$47,SMALL(IF(ISNUMBER(Расчёт!$F$27:$F$47),ROW(Расчёт!$F$27:$F$47)-ROW(Расчёт!$F$27)+1),15)),"")</f>
        <v/>
      </c>
      <c r="B43" s="14">
        <f>IFERROR(INDEX(Расчёт!$A$27:$A$47,SMALL(IF(ISNUMBER(Расчёт!$F$27:$F$47),ROW(Расчёт!$F$27:$F$47)-ROW(Расчёт!$F$27)+1),15)),"")</f>
        <v/>
      </c>
    </row>
    <row r="44">
      <c r="A44" s="14">
        <f>IFERROR(INDEX(Расчёт!$F$27:$F$47,SMALL(IF(ISNUMBER(Расчёт!$F$27:$F$47),ROW(Расчёт!$F$27:$F$47)-ROW(Расчёт!$F$27)+1),16)),"")</f>
        <v/>
      </c>
      <c r="B44" s="14">
        <f>IFERROR(INDEX(Расчёт!$A$27:$A$47,SMALL(IF(ISNUMBER(Расчёт!$F$27:$F$47),ROW(Расчёт!$F$27:$F$47)-ROW(Расчёт!$F$27)+1),16)),"")</f>
        <v/>
      </c>
    </row>
    <row r="45">
      <c r="A45" s="14">
        <f>IFERROR(INDEX(Расчёт!$F$27:$F$47,SMALL(IF(ISNUMBER(Расчёт!$F$27:$F$47),ROW(Расчёт!$F$27:$F$47)-ROW(Расчёт!$F$27)+1),17)),"")</f>
        <v/>
      </c>
      <c r="B45" s="14">
        <f>IFERROR(INDEX(Расчёт!$A$27:$A$47,SMALL(IF(ISNUMBER(Расчёт!$F$27:$F$47),ROW(Расчёт!$F$27:$F$47)-ROW(Расчёт!$F$27)+1),17)),"")</f>
        <v/>
      </c>
    </row>
    <row r="46">
      <c r="A46" s="14">
        <f>IFERROR(INDEX(Расчёт!$F$27:$F$47,SMALL(IF(ISNUMBER(Расчёт!$F$27:$F$47),ROW(Расчёт!$F$27:$F$47)-ROW(Расчёт!$F$27)+1),18)),"")</f>
        <v/>
      </c>
      <c r="B46" s="14">
        <f>IFERROR(INDEX(Расчёт!$A$27:$A$47,SMALL(IF(ISNUMBER(Расчёт!$F$27:$F$47),ROW(Расчёт!$F$27:$F$47)-ROW(Расчёт!$F$27)+1),18)),"")</f>
        <v/>
      </c>
    </row>
    <row r="47">
      <c r="A47" s="14">
        <f>IFERROR(INDEX(Расчёт!$F$27:$F$47,SMALL(IF(ISNUMBER(Расчёт!$F$27:$F$47),ROW(Расчёт!$F$27:$F$47)-ROW(Расчёт!$F$27)+1),19)),"")</f>
        <v/>
      </c>
      <c r="B47" s="14">
        <f>IFERROR(INDEX(Расчёт!$A$27:$A$47,SMALL(IF(ISNUMBER(Расчёт!$F$27:$F$47),ROW(Расчёт!$F$27:$F$47)-ROW(Расчёт!$F$27)+1),19)),"")</f>
        <v/>
      </c>
    </row>
    <row r="48">
      <c r="A48" s="14">
        <f>IFERROR(INDEX(Расчёт!$F$27:$F$47,SMALL(IF(ISNUMBER(Расчёт!$F$27:$F$47),ROW(Расчёт!$F$27:$F$47)-ROW(Расчёт!$F$27)+1),20)),"")</f>
        <v/>
      </c>
      <c r="B48" s="14">
        <f>IFERROR(INDEX(Расчёт!$A$27:$A$47,SMALL(IF(ISNUMBER(Расчёт!$F$27:$F$47),ROW(Расчёт!$F$27:$F$47)-ROW(Расчёт!$F$27)+1),20)),"")</f>
        <v/>
      </c>
    </row>
    <row r="49">
      <c r="A49" s="14">
        <f>IFERROR(INDEX(Расчёт!$F$27:$F$47,SMALL(IF(ISNUMBER(Расчёт!$F$27:$F$47),ROW(Расчёт!$F$27:$F$47)-ROW(Расчёт!$F$27)+1),21)),"")</f>
        <v/>
      </c>
      <c r="B49" s="14">
        <f>IFERROR(INDEX(Расчёт!$A$27:$A$47,SMALL(IF(ISNUMBER(Расчёт!$F$27:$F$47),ROW(Расчёт!$F$27:$F$47)-ROW(Расчёт!$F$27)+1),21)),"")</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58" customWidth="1" min="3" max="3"/>
    <col width="52" customWidth="1" min="4" max="4"/>
    <col width="60" customWidth="1" min="5" max="5"/>
    <col width="18" customWidth="1" min="6" max="6"/>
    <col width="48" customWidth="1" min="7" max="7"/>
  </cols>
  <sheetData>
    <row r="1">
      <c r="A1" s="23" t="inlineStr">
        <is>
          <t>ID</t>
        </is>
      </c>
      <c r="B1" s="23" t="inlineStr">
        <is>
          <t>Класс</t>
        </is>
      </c>
      <c r="C1" s="23" t="inlineStr">
        <is>
          <t>Нормативное требование</t>
        </is>
      </c>
      <c r="D1" s="23" t="inlineStr">
        <is>
          <t>Что было в v3.11</t>
        </is>
      </c>
      <c r="E1" s="23" t="inlineStr">
        <is>
          <t>Исправление в v3.12</t>
        </is>
      </c>
      <c r="F1" s="23" t="inlineStr">
        <is>
          <t>Статус</t>
        </is>
      </c>
      <c r="G1" s="23" t="inlineStr">
        <is>
          <t>Остаточный техдолг</t>
        </is>
      </c>
    </row>
    <row r="2">
      <c r="A2" s="24" t="inlineStr">
        <is>
          <t>D86-N01</t>
        </is>
      </c>
      <c r="B2" s="24" t="inlineStr">
        <is>
          <t>P0</t>
        </is>
      </c>
      <c r="C2" s="24" t="inlineStr">
        <is>
          <t>Применяется актуальная ASTM D86-23; метод охватывает ручный и автоматический аппараты и четыре группы 1–4.</t>
        </is>
      </c>
      <c r="D2" s="24" t="inlineStr">
        <is>
          <t>В книге указан ASTM D86-20a.</t>
        </is>
      </c>
      <c r="E2" s="24" t="inlineStr">
        <is>
          <t>Метаданные обновлены до ASTM D86-23; группы 1–4 сохранены.</t>
        </is>
      </c>
      <c r="F2" s="24" t="inlineStr">
        <is>
          <t>ИСПРАВЛЕНО</t>
        </is>
      </c>
      <c r="G2" s="24" t="inlineStr">
        <is>
          <t>Синхронизировать генератор и архив версий.</t>
        </is>
      </c>
    </row>
    <row r="3">
      <c r="A3" s="24" t="inlineStr">
        <is>
          <t>D86-N02</t>
        </is>
      </c>
      <c r="B3" s="24" t="inlineStr">
        <is>
          <t>P0</t>
        </is>
      </c>
      <c r="C3" s="24" t="inlineStr">
        <is>
          <t>При корректировке потерь к 101,3 kPa формула применяется при любом P, включая P&gt;760 mm Hg.</t>
        </is>
      </c>
      <c r="D3" s="24" t="inlineStr">
        <is>
          <t>При P&gt;760 формула заменялась на наблюдаемую потерю.</t>
        </is>
      </c>
      <c r="E3" s="24" t="inlineStr">
        <is>
          <t>Исправлена формула Lc для всего диапазона.</t>
        </is>
      </c>
      <c r="F3" s="24" t="inlineStr">
        <is>
          <t>ИСПРАВЛЕНО</t>
        </is>
      </c>
      <c r="G3" s="24" t="inlineStr">
        <is>
          <t>Добавить тесты P&lt;760, =760 и &gt;760.</t>
        </is>
      </c>
    </row>
    <row r="4">
      <c r="A4" s="24" t="inlineStr">
        <is>
          <t>D86-N03</t>
        </is>
      </c>
      <c r="B4" s="24" t="inlineStr">
        <is>
          <t>P0</t>
        </is>
      </c>
      <c r="C4" s="24" t="inlineStr">
        <is>
          <t>Slope в точке 95 % использует соседние точки 90 и 100 %.</t>
        </is>
      </c>
      <c r="D4" s="24" t="inlineStr">
        <is>
          <t>Для 95 % использовались 90 и 95 %.</t>
        </is>
      </c>
      <c r="E4" s="24" t="inlineStr">
        <is>
          <t>Исправлена M21 на 90–100 %.</t>
        </is>
      </c>
      <c r="F4" s="24" t="inlineStr">
        <is>
          <t>ИСПРАВЛЕНО</t>
        </is>
      </c>
      <c r="G4" s="24" t="inlineStr">
        <is>
          <t>Автоматизировать regression test slope.</t>
        </is>
      </c>
    </row>
    <row r="5">
      <c r="A5" s="24" t="inlineStr">
        <is>
          <t>D86-N04</t>
        </is>
      </c>
      <c r="B5" s="24" t="inlineStr">
        <is>
          <t>P0</t>
        </is>
      </c>
      <c r="C5" s="24" t="inlineStr">
        <is>
          <t>Для manual метода контролируются времена до IBP, IBP→5 %, средняя скорость конденсации 4–5 mL/min и время 5 mL остатка→EP.</t>
        </is>
      </c>
      <c r="D5" s="24" t="inlineStr">
        <is>
          <t>Процедурные условия не вводились.</t>
        </is>
      </c>
      <c r="E5" s="24" t="inlineStr">
        <is>
          <t>Требования зафиксированы в audit layer.</t>
        </is>
      </c>
      <c r="F5" s="24" t="inlineStr">
        <is>
          <t>ЧАСТИЧНО</t>
        </is>
      </c>
      <c r="G5" s="24" t="inlineStr">
        <is>
          <t>Добавить поля и PASS/FAIL.</t>
        </is>
      </c>
    </row>
    <row r="6">
      <c r="A6" s="24" t="inlineStr">
        <is>
          <t>D86-N05</t>
        </is>
      </c>
      <c r="B6" s="24" t="inlineStr">
        <is>
          <t>P0</t>
        </is>
      </c>
      <c r="C6" s="24" t="inlineStr">
        <is>
          <t>Температурная система требует периодической проверки; D86-23 содержит проверки калибровки и dynamic response с toluene/hexadecane/check standards.</t>
        </is>
      </c>
      <c r="D6" s="24" t="inlineStr">
        <is>
          <t>Контроль не был встроен.</t>
        </is>
      </c>
      <c r="E6" s="24" t="inlineStr">
        <is>
          <t>Требования зафиксированы.</t>
        </is>
      </c>
      <c r="F6" s="24" t="inlineStr">
        <is>
          <t>ЧАСТИЧНО</t>
        </is>
      </c>
      <c r="G6" s="24" t="inlineStr">
        <is>
          <t>Журнал проверок и контрольные карты.</t>
        </is>
      </c>
    </row>
    <row r="7">
      <c r="A7" s="24" t="inlineStr">
        <is>
          <t>D86-N06</t>
        </is>
      </c>
      <c r="B7" s="24" t="inlineStr">
        <is>
          <t>P0</t>
        </is>
      </c>
      <c r="C7" s="24" t="inlineStr">
        <is>
          <t>Барометр: local station pressure, точность 0,1 kPa (1 mm Hg) или лучше.</t>
        </is>
      </c>
      <c r="D7" s="24" t="inlineStr">
        <is>
          <t>Метрологический статус прибора не контролируется.</t>
        </is>
      </c>
      <c r="E7" s="24" t="inlineStr">
        <is>
          <t>Добавлена нормативная подсказка.</t>
        </is>
      </c>
      <c r="F7" s="24" t="inlineStr">
        <is>
          <t>ЧАСТИЧНО</t>
        </is>
      </c>
      <c r="G7" s="24" t="inlineStr">
        <is>
          <t>ID СИ, дата поверки, uncertainty.</t>
        </is>
      </c>
    </row>
    <row r="8">
      <c r="A8" s="24" t="inlineStr">
        <is>
          <t>D86-N07</t>
        </is>
      </c>
      <c r="B8" s="24" t="inlineStr">
        <is>
          <t>P1</t>
        </is>
      </c>
      <c r="C8" s="24" t="inlineStr">
        <is>
          <t>Условия кондиционирования и обращения с образцом зависят от группы.</t>
        </is>
      </c>
      <c r="D8" s="24" t="inlineStr">
        <is>
          <t>Отсутствовал checklist.</t>
        </is>
      </c>
      <c r="E8" s="24" t="inlineStr">
        <is>
          <t>Требования зафиксированы.</t>
        </is>
      </c>
      <c r="F8" s="24" t="inlineStr">
        <is>
          <t>ТЕХДОЛГ</t>
        </is>
      </c>
      <c r="G8" s="24" t="inlineStr">
        <is>
          <t>Добавить checklist.</t>
        </is>
      </c>
    </row>
    <row r="9">
      <c r="A9" s="24" t="inlineStr">
        <is>
          <t>D86-N08</t>
        </is>
      </c>
      <c r="B9" s="24" t="inlineStr">
        <is>
          <t>P0</t>
        </is>
      </c>
      <c r="C9" s="24" t="inlineStr">
        <is>
          <t>Manual report: объёмы и температуры с требуемым округлением.</t>
        </is>
      </c>
      <c r="D9" s="24" t="inlineStr">
        <is>
          <t>Нет отдельного report layer.</t>
        </is>
      </c>
      <c r="E9" s="24" t="inlineStr">
        <is>
          <t>Требование зафиксировано; вычисления не обрезаются преждевременно.</t>
        </is>
      </c>
      <c r="F9" s="24" t="inlineStr">
        <is>
          <t>ЧАСТИЧНО</t>
        </is>
      </c>
      <c r="G9" s="24" t="inlineStr">
        <is>
          <t>Отдельный Report Values layer.</t>
        </is>
      </c>
    </row>
    <row r="10">
      <c r="A10" s="24" t="inlineStr">
        <is>
          <t>D86-N09</t>
        </is>
      </c>
      <c r="B10" s="24" t="inlineStr">
        <is>
          <t>P1</t>
        </is>
      </c>
      <c r="C10" s="24" t="inlineStr">
        <is>
          <t>Есть требования безопасности для mercury/горючих паров.</t>
        </is>
      </c>
      <c r="D10" s="24" t="inlineStr">
        <is>
          <t>Безопасность почти не представлена.</t>
        </is>
      </c>
      <c r="E10" s="24" t="inlineStr">
        <is>
          <t>Требование зафиксировано.</t>
        </is>
      </c>
      <c r="F10" s="24" t="inlineStr">
        <is>
          <t>ТЕХДОЛГ</t>
        </is>
      </c>
      <c r="G10" s="24" t="inlineStr">
        <is>
          <t>Safety checklist.</t>
        </is>
      </c>
    </row>
    <row r="11">
      <c r="A11" s="24" t="inlineStr">
        <is>
          <t>D86-N10</t>
        </is>
      </c>
      <c r="B11" s="24" t="inlineStr">
        <is>
          <t>P0</t>
        </is>
      </c>
      <c r="C11" s="24" t="inlineStr">
        <is>
          <t>Нормативный контроль не должен сводиться к арифметике.</t>
        </is>
      </c>
      <c r="D11" s="24" t="inlineStr">
        <is>
          <t>v3.11 была calculator-first.</t>
        </is>
      </c>
      <c r="E11" s="24" t="inlineStr">
        <is>
          <t>Добавлен отдельный audit layer.</t>
        </is>
      </c>
      <c r="F11" s="24" t="inlineStr">
        <is>
          <t>ЧАСТИЧНО</t>
        </is>
      </c>
      <c r="G11" s="24" t="inlineStr">
        <is>
          <t>Перенести audit layer в fraction_lib.</t>
        </is>
      </c>
    </row>
  </sheetData>
  <autoFilter ref="A1:G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58" customWidth="1" min="3" max="3"/>
    <col width="52" customWidth="1" min="4" max="4"/>
    <col width="60" customWidth="1" min="5" max="5"/>
    <col width="18" customWidth="1" min="6" max="6"/>
    <col width="48" customWidth="1" min="7" max="7"/>
  </cols>
  <sheetData>
    <row r="1">
      <c r="A1" s="23" t="inlineStr">
        <is>
          <t>ID</t>
        </is>
      </c>
      <c r="B1" s="23" t="inlineStr">
        <is>
          <t>Приоритет</t>
        </is>
      </c>
      <c r="C1" s="23" t="inlineStr">
        <is>
          <t>Долг</t>
        </is>
      </c>
      <c r="D1" s="23" t="inlineStr">
        <is>
          <t>Почему не блокирует текущий расчёт</t>
        </is>
      </c>
      <c r="E1" s="23" t="inlineStr">
        <is>
          <t>Критерий закрытия</t>
        </is>
      </c>
    </row>
    <row r="2">
      <c r="A2" s="24" t="inlineStr">
        <is>
          <t>TD-D86-001</t>
        </is>
      </c>
      <c r="B2" s="24" t="inlineStr">
        <is>
          <t>P1</t>
        </is>
      </c>
      <c r="C2" s="24" t="inlineStr">
        <is>
          <t>Синхронизация с fraction_lib/generator</t>
        </is>
      </c>
      <c r="D2" s="24" t="inlineStr">
        <is>
          <t>Исправления уже есть в книге.</t>
        </is>
      </c>
      <c r="E2" s="24" t="inlineStr">
        <is>
          <t>Генератор воспроизводит v3.12 + regression tests.</t>
        </is>
      </c>
    </row>
    <row r="3">
      <c r="A3" s="24" t="inlineStr">
        <is>
          <t>TD-D86-002</t>
        </is>
      </c>
      <c r="B3" s="24" t="inlineStr">
        <is>
          <t>P1</t>
        </is>
      </c>
      <c r="C3" s="24" t="inlineStr">
        <is>
          <t>Автоматический контроль Table 5</t>
        </is>
      </c>
      <c r="D3" s="24" t="inlineStr">
        <is>
          <t>Не меняет уже рассчитанный результат.</t>
        </is>
      </c>
      <c r="E3" s="24" t="inlineStr">
        <is>
          <t>Поля, диапазоны и PASS/FAIL для каждой группы.</t>
        </is>
      </c>
    </row>
    <row r="4">
      <c r="A4" s="24" t="inlineStr">
        <is>
          <t>TD-D86-003</t>
        </is>
      </c>
      <c r="B4" s="24" t="inlineStr">
        <is>
          <t>P1</t>
        </is>
      </c>
      <c r="C4" s="24" t="inlineStr">
        <is>
          <t>Журнал поверки/калибровки термометра и барометра</t>
        </is>
      </c>
      <c r="D4" s="24" t="inlineStr">
        <is>
          <t>Доказательная часть компетентности.</t>
        </is>
      </c>
      <c r="E4" s="24" t="inlineStr">
        <is>
          <t>Trace ID, дата, СИ, статус, срок.</t>
        </is>
      </c>
    </row>
    <row r="5">
      <c r="A5" s="24" t="inlineStr">
        <is>
          <t>TD-D86-004</t>
        </is>
      </c>
      <c r="B5" s="24" t="inlineStr">
        <is>
          <t>P1</t>
        </is>
      </c>
      <c r="C5" s="24" t="inlineStr">
        <is>
          <t>Проверка toluene/hexadecane и dynamic response</t>
        </is>
      </c>
      <c r="D5" s="24" t="inlineStr">
        <is>
          <t>Требует фактических испытаний.</t>
        </is>
      </c>
      <c r="E5" s="24" t="inlineStr">
        <is>
          <t>ARV, tolerance, result, decision.</t>
        </is>
      </c>
    </row>
    <row r="6">
      <c r="A6" s="24" t="inlineStr">
        <is>
          <t>TD-D86-005</t>
        </is>
      </c>
      <c r="B6" s="24" t="inlineStr">
        <is>
          <t>P1</t>
        </is>
      </c>
      <c r="C6" s="24" t="inlineStr">
        <is>
          <t>Полный report layer D86-23</t>
        </is>
      </c>
      <c r="D6" s="24" t="inlineStr">
        <is>
          <t>Нужна нормативная структура протокола.</t>
        </is>
      </c>
      <c r="E6" s="24" t="inlineStr">
        <is>
          <t>Протокол содержит обязательные данные.</t>
        </is>
      </c>
    </row>
    <row r="7">
      <c r="A7" s="24" t="inlineStr">
        <is>
          <t>TD-D86-006</t>
        </is>
      </c>
      <c r="B7" s="24" t="inlineStr">
        <is>
          <t>P2</t>
        </is>
      </c>
      <c r="C7" s="24" t="inlineStr">
        <is>
          <t>Measurement uncertainty / GUM model</t>
        </is>
      </c>
      <c r="D7" s="24" t="inlineStr">
        <is>
          <t>Precision ASTM не равно GUM uncertainty.</t>
        </is>
      </c>
      <c r="E7" s="24" t="inlineStr">
        <is>
          <t>Validated Type A/B model.</t>
        </is>
      </c>
    </row>
    <row r="8">
      <c r="A8" s="24" t="inlineStr">
        <is>
          <t>TD-D86-007</t>
        </is>
      </c>
      <c r="B8" s="24" t="inlineStr">
        <is>
          <t>P2</t>
        </is>
      </c>
      <c r="C8" s="24" t="inlineStr">
        <is>
          <t>Traceable source/version/hash registry</t>
        </is>
      </c>
      <c r="D8" s="24" t="inlineStr">
        <is>
          <t>Нужна воспроизводимость используемой редакции.</t>
        </is>
      </c>
      <c r="E8" s="24" t="inlineStr">
        <is>
          <t>Регистр НД с version/date/hash.</t>
        </is>
      </c>
    </row>
    <row r="9">
      <c r="A9" s="24" t="inlineStr">
        <is>
          <t>TD-D86-008</t>
        </is>
      </c>
      <c r="B9" s="24" t="inlineStr">
        <is>
          <t>P2</t>
        </is>
      </c>
      <c r="C9" s="24" t="inlineStr">
        <is>
          <t>Product-specification layer</t>
        </is>
      </c>
      <c r="D9" s="24" t="inlineStr">
        <is>
          <t>Метод D86 не является спецификацией продукта.</t>
        </is>
      </c>
      <c r="E9" s="24" t="inlineStr">
        <is>
          <t>Отдельный limits/decision-rule module.</t>
        </is>
      </c>
    </row>
  </sheetData>
  <autoFilter ref="A1:E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1"/>
  <sheetViews>
    <sheetView workbookViewId="0">
      <selection activeCell="A1" sqref="A1"/>
    </sheetView>
  </sheetViews>
  <sheetFormatPr baseColWidth="8" defaultRowHeight="15"/>
  <sheetData>
    <row r="1">
      <c r="A1" t="inlineStr">
        <is>
          <t>КОНТРАКТ fraction_lib ↔ книга (сгенерировано excel_generator)</t>
        </is>
      </c>
    </row>
    <row r="2">
      <c r="A2" t="inlineStr">
        <is>
          <t>Дата:</t>
        </is>
      </c>
      <c r="B2" t="inlineStr">
        <is>
          <t>2026-10-07</t>
        </is>
      </c>
    </row>
    <row r="3">
      <c r="A3" t="inlineStr">
        <is>
          <t>Метод:</t>
        </is>
      </c>
      <c r="B3" t="inlineStr">
        <is>
          <t>d86</t>
        </is>
      </c>
      <c r="C3" t="inlineStr">
        <is>
          <t>Книга-источник:</t>
        </is>
      </c>
      <c r="D3" t="inlineStr">
        <is>
          <t>ASTM_D86_ручной_метод_v3.12_нормативно_аудированный.xlsx</t>
        </is>
      </c>
    </row>
    <row r="4">
      <c r="A4" t="inlineStr"/>
    </row>
    <row r="5">
      <c r="A5">
        <f>= 1. Нормативные константы библиотеки ==</f>
        <v/>
      </c>
    </row>
    <row r="6">
      <c r="A6" t="inlineStr">
        <is>
          <t>GOST2177_PRESSURE_RANGE (мм рт.ст.):</t>
        </is>
      </c>
      <c r="B6" t="n">
        <v>560</v>
      </c>
      <c r="C6" t="n">
        <v>760</v>
      </c>
    </row>
    <row r="7">
      <c r="A7" t="inlineStr">
        <is>
          <t>GOST2177_EXTRAPOLATION_MAX_PCT:</t>
        </is>
      </c>
      <c r="B7" t="n">
        <v>95</v>
      </c>
    </row>
    <row r="8">
      <c r="A8" t="inlineStr">
        <is>
          <t>GOST2177_TABLE4_POLICY_DEFAULT:</t>
        </is>
      </c>
      <c r="B8" t="inlineStr">
        <is>
          <t>strict</t>
        </is>
      </c>
    </row>
    <row r="9">
      <c r="A9" t="inlineStr">
        <is>
          <t>Строк Таблицы 4:</t>
        </is>
      </c>
      <c r="B9" t="n">
        <v>21</v>
      </c>
    </row>
    <row r="10">
      <c r="A10" t="inlineStr"/>
    </row>
    <row r="11">
      <c r="A11">
        <f>= 2. Входные данные листа «Ввод» (эталон прогона) ==</f>
        <v/>
      </c>
    </row>
    <row r="12">
      <c r="A12" t="inlineStr">
        <is>
          <t>P, мм рт.ст.:</t>
        </is>
      </c>
      <c r="B12" t="n">
        <v>755</v>
      </c>
      <c r="C12" t="inlineStr">
        <is>
          <t>| Группа/тип:</t>
        </is>
      </c>
      <c r="D12" t="inlineStr">
        <is>
          <t>4</t>
        </is>
      </c>
      <c r="E12" t="inlineStr">
        <is>
          <t>| Объём пробы, мл:</t>
        </is>
      </c>
      <c r="F12" t="n">
        <v>100</v>
      </c>
    </row>
    <row r="13">
      <c r="A13" t="inlineStr">
        <is>
          <t>Потери, %:</t>
        </is>
      </c>
      <c r="B13" t="n">
        <v>0.5</v>
      </c>
      <c r="C13" t="inlineStr">
        <is>
          <t>| Остаток, %:</t>
        </is>
      </c>
      <c r="D13" t="n">
        <v>1.5</v>
      </c>
    </row>
    <row r="14">
      <c r="A14" t="inlineStr">
        <is>
          <t>% отгона</t>
        </is>
      </c>
      <c r="B14" t="inlineStr">
        <is>
          <t>T_набл, °C</t>
        </is>
      </c>
    </row>
    <row r="15">
      <c r="A15" t="n">
        <v>0</v>
      </c>
      <c r="B15" t="n">
        <v>161.75</v>
      </c>
    </row>
    <row r="16">
      <c r="A16" t="n">
        <v>5</v>
      </c>
      <c r="B16" t="n">
        <v>190.5</v>
      </c>
    </row>
    <row r="17">
      <c r="A17" t="n">
        <v>10</v>
      </c>
      <c r="B17" t="n">
        <v>203.75</v>
      </c>
    </row>
    <row r="18">
      <c r="A18" t="n">
        <v>15</v>
      </c>
      <c r="B18" t="n">
        <v>210</v>
      </c>
    </row>
    <row r="19">
      <c r="A19" t="n">
        <v>20</v>
      </c>
      <c r="B19" t="n">
        <v>227.5</v>
      </c>
    </row>
    <row r="20">
      <c r="A20" t="n">
        <v>25</v>
      </c>
      <c r="B20" t="n">
        <v>235</v>
      </c>
    </row>
    <row r="21">
      <c r="A21" t="n">
        <v>30</v>
      </c>
      <c r="B21" t="n">
        <v>244</v>
      </c>
    </row>
    <row r="22">
      <c r="A22" t="n">
        <v>35</v>
      </c>
      <c r="B22" t="n">
        <v>250</v>
      </c>
    </row>
    <row r="23">
      <c r="A23" t="n">
        <v>40</v>
      </c>
      <c r="B23" t="n">
        <v>256.5</v>
      </c>
    </row>
    <row r="24">
      <c r="A24" t="n">
        <v>45</v>
      </c>
      <c r="B24" t="n">
        <v>262</v>
      </c>
    </row>
    <row r="25">
      <c r="A25" t="n">
        <v>50</v>
      </c>
      <c r="B25" t="n">
        <v>268.75</v>
      </c>
    </row>
    <row r="26">
      <c r="A26" t="n">
        <v>55</v>
      </c>
      <c r="B26" t="n">
        <v>274</v>
      </c>
    </row>
    <row r="27">
      <c r="A27" t="n">
        <v>60</v>
      </c>
      <c r="B27" t="n">
        <v>280.5</v>
      </c>
    </row>
    <row r="28">
      <c r="A28" t="n">
        <v>65</v>
      </c>
      <c r="B28" t="n">
        <v>287</v>
      </c>
    </row>
    <row r="29">
      <c r="A29" t="n">
        <v>70</v>
      </c>
      <c r="B29" t="n">
        <v>293.75</v>
      </c>
    </row>
    <row r="30">
      <c r="A30" t="n">
        <v>75</v>
      </c>
      <c r="B30" t="n">
        <v>300</v>
      </c>
    </row>
    <row r="31">
      <c r="A31" t="n">
        <v>80</v>
      </c>
      <c r="B31" t="n">
        <v>309.25</v>
      </c>
    </row>
    <row r="32">
      <c r="A32" t="n">
        <v>85</v>
      </c>
      <c r="B32" t="n">
        <v>318</v>
      </c>
    </row>
    <row r="33">
      <c r="A33" t="n">
        <v>90</v>
      </c>
      <c r="B33" t="n">
        <v>329.75</v>
      </c>
    </row>
    <row r="34">
      <c r="A34" t="n">
        <v>95</v>
      </c>
      <c r="B34" t="n">
        <v>345.25</v>
      </c>
    </row>
    <row r="35">
      <c r="A35" t="n">
        <v>100</v>
      </c>
      <c r="B35" t="n">
        <v>355</v>
      </c>
    </row>
    <row r="36">
      <c r="A36" t="inlineStr"/>
    </row>
    <row r="37">
      <c r="A37">
        <f>= 3. Канонические формулы крутизны S(p) (п.5.6.3 / A4.3) ==</f>
        <v/>
      </c>
    </row>
    <row r="38">
      <c r="A38" t="inlineStr">
        <is>
          <t>% отгона</t>
        </is>
      </c>
      <c r="B38" t="inlineStr">
        <is>
          <t>Формула (строчки листа Расчёт v3.12)</t>
        </is>
      </c>
      <c r="C38" t="inlineStr">
        <is>
          <t>S_ref (fraction_lib)</t>
        </is>
      </c>
    </row>
    <row r="39">
      <c r="A39" t="n">
        <v>0</v>
      </c>
      <c r="B39">
        <f>ABS(F3-F2)/(A3-A2)   # IBP: интервал 0-&gt;5</f>
        <v/>
      </c>
      <c r="C39" t="n">
        <v>5.753449999999998</v>
      </c>
    </row>
    <row r="40">
      <c r="A40" t="n">
        <v>5</v>
      </c>
      <c r="B40">
        <f>ABS(F4-F2)/(A4-A2)   # соседи 0..10%</f>
        <v/>
      </c>
      <c r="C40" t="n">
        <v>4.202519999999998</v>
      </c>
    </row>
    <row r="41">
      <c r="A41" t="n">
        <v>10</v>
      </c>
      <c r="B41">
        <f>ABS(F5-F3)/(A5-A3)   # соседи 5..15%</f>
        <v/>
      </c>
      <c r="C41" t="n">
        <v>1.951170000000002</v>
      </c>
    </row>
    <row r="42">
      <c r="A42" t="n">
        <v>15</v>
      </c>
      <c r="B42">
        <f>ABS(F6-F4)/(A6-A4)   # соседи 10..20%</f>
        <v/>
      </c>
      <c r="C42" t="n">
        <v>2.376425</v>
      </c>
    </row>
    <row r="43">
      <c r="A43" t="n">
        <v>20</v>
      </c>
      <c r="B43">
        <f>ABS(F7-F5)/(A7-A5)   # соседи 15..25%</f>
        <v/>
      </c>
      <c r="C43" t="n">
        <v>2.501499999999999</v>
      </c>
    </row>
    <row r="44">
      <c r="A44" t="n">
        <v>25</v>
      </c>
      <c r="B44">
        <f>ABS(F8-F6)/(A8-A6)   # соседи 20..30%</f>
        <v/>
      </c>
      <c r="C44" t="n">
        <v>1.650990000000002</v>
      </c>
    </row>
    <row r="45">
      <c r="A45" t="n">
        <v>30</v>
      </c>
      <c r="B45">
        <f>ABS(F9-F7)/(A9-A7)   # соседи 25..35%</f>
        <v/>
      </c>
      <c r="C45" t="n">
        <v>1.500899999999999</v>
      </c>
    </row>
    <row r="46">
      <c r="A46" t="n">
        <v>35</v>
      </c>
      <c r="B46">
        <f>ABS(F10-F8)/(A10-A8)   # соседи 30..40%</f>
        <v/>
      </c>
      <c r="C46" t="n">
        <v>1.250749999999999</v>
      </c>
    </row>
    <row r="47">
      <c r="A47" t="n">
        <v>40</v>
      </c>
      <c r="B47">
        <f>ABS(F11-F9)/(A11-A9)   # соседи 35..45%</f>
        <v/>
      </c>
      <c r="C47" t="n">
        <v>1.200720000000004</v>
      </c>
    </row>
    <row r="48">
      <c r="A48" t="n">
        <v>45</v>
      </c>
      <c r="B48">
        <f>ABS(F12-F10)/(A12-A10)   # соседи 40..50%</f>
        <v/>
      </c>
      <c r="C48" t="n">
        <v>1.225734999999997</v>
      </c>
    </row>
    <row r="49">
      <c r="A49" t="n">
        <v>50</v>
      </c>
      <c r="B49">
        <f>ABS(F13-F11)/(A13-A11)   # соседи 45..55%</f>
        <v/>
      </c>
      <c r="C49" t="n">
        <v>1.200719999999996</v>
      </c>
    </row>
    <row r="50">
      <c r="A50" t="n">
        <v>55</v>
      </c>
      <c r="B50">
        <f>ABS(F14-F12)/(A14-A12)   # соседи 50..60%</f>
        <v/>
      </c>
      <c r="C50" t="n">
        <v>1.175705000000005</v>
      </c>
    </row>
    <row r="51">
      <c r="A51" t="n">
        <v>60</v>
      </c>
      <c r="B51">
        <f>ABS(F15-F13)/(A15-A13)   # соседи 55..65%</f>
        <v/>
      </c>
      <c r="C51" t="n">
        <v>1.300780000000003</v>
      </c>
    </row>
    <row r="52">
      <c r="A52" t="n">
        <v>65</v>
      </c>
      <c r="B52">
        <f>ABS(F16-F14)/(A16-A14)   # соседи 60..70%</f>
        <v/>
      </c>
      <c r="C52" t="n">
        <v>1.325794999999999</v>
      </c>
    </row>
    <row r="53">
      <c r="A53" t="n">
        <v>70</v>
      </c>
      <c r="B53">
        <f>ABS(F17-F15)/(A17-A15)   # соседи 65..75%</f>
        <v/>
      </c>
      <c r="C53" t="n">
        <v>1.300779999999997</v>
      </c>
    </row>
    <row r="54">
      <c r="A54" t="n">
        <v>75</v>
      </c>
      <c r="B54">
        <f>ABS(F18-F16)/(A18-A16)   # соседи 70..80%</f>
        <v/>
      </c>
      <c r="C54" t="n">
        <v>1.55093</v>
      </c>
    </row>
    <row r="55">
      <c r="A55" t="n">
        <v>80</v>
      </c>
      <c r="B55">
        <f>ABS(F19-F17)/(A19-A17)   # соседи 75..85%</f>
        <v/>
      </c>
      <c r="C55" t="n">
        <v>1.801080000000002</v>
      </c>
    </row>
    <row r="56">
      <c r="A56" t="n">
        <v>85</v>
      </c>
      <c r="B56">
        <f>ABS(F20-F18)/(A20-A18)   # соседи 80..90%</f>
        <v/>
      </c>
      <c r="C56" t="n">
        <v>2.051229999999998</v>
      </c>
    </row>
    <row r="57">
      <c r="A57" t="n">
        <v>90</v>
      </c>
      <c r="B57">
        <f>ABS(F21-F19)/(A21-A19)   # соседи 85..95%   # исправлено v3.12: было 85-90, по 5.6.3 нужно 85-95</f>
        <v/>
      </c>
      <c r="C57" t="n">
        <v>2.726634999999999</v>
      </c>
    </row>
    <row r="58">
      <c r="A58" t="n">
        <v>95</v>
      </c>
      <c r="B58">
        <f>ABS(F22-F20)/(A22-A20)   # соседи 90..100%   # исправлено v3.12: было 90-95, по 5.6.3 нужно 90-100</f>
        <v/>
      </c>
      <c r="C58" t="n">
        <v>2.526515000000001</v>
      </c>
    </row>
    <row r="59">
      <c r="A59" t="n">
        <v>100</v>
      </c>
      <c r="B59">
        <f>ABS(F22-F21)/(A22-A21)   # КК: последний интервал 95-&gt;100</f>
        <v/>
      </c>
      <c r="C59" t="n">
        <v>1.951170000000002</v>
      </c>
    </row>
    <row r="60">
      <c r="A60" t="inlineStr"/>
    </row>
    <row r="61">
      <c r="A61">
        <f>= 4. Эталонный результат fraction_lib ==</f>
        <v/>
      </c>
    </row>
    <row r="62">
      <c r="A62" t="inlineStr">
        <is>
          <t>Loss_скорр, %:</t>
        </is>
      </c>
      <c r="B62" t="n">
        <v>0.5</v>
      </c>
      <c r="C62" t="inlineStr">
        <is>
          <t>| Residue, %:</t>
        </is>
      </c>
      <c r="D62" t="n">
        <v>1.5</v>
      </c>
    </row>
    <row r="63">
      <c r="A63" t="inlineStr">
        <is>
          <t>% отгона</t>
        </is>
      </c>
      <c r="B63" t="inlineStr">
        <is>
          <t>T_corr_ref</t>
        </is>
      </c>
      <c r="C63" t="inlineStr">
        <is>
          <t>slope_ref</t>
        </is>
      </c>
      <c r="D63" t="inlineStr">
        <is>
          <t>r_ref</t>
        </is>
      </c>
      <c r="E63" t="inlineStr">
        <is>
          <t>R_ref</t>
        </is>
      </c>
    </row>
    <row r="64">
      <c r="A64" t="inlineStr">
        <is>
          <t>0</t>
        </is>
      </c>
      <c r="B64" t="n">
        <v>162.01085</v>
      </c>
      <c r="C64" t="n">
        <v>5.753449999999998</v>
      </c>
      <c r="D64" t="n">
        <v>3.013707499999999</v>
      </c>
      <c r="E64" t="n">
        <v>8.150708499999999</v>
      </c>
    </row>
    <row r="65">
      <c r="A65" t="inlineStr">
        <is>
          <t>5</t>
        </is>
      </c>
      <c r="B65" t="n">
        <v>190.7781</v>
      </c>
      <c r="C65" t="n">
        <v>4.202519999999998</v>
      </c>
      <c r="D65" t="n">
        <v>2.723033199999999</v>
      </c>
      <c r="E65" t="n">
        <v>7.389351599999998</v>
      </c>
    </row>
    <row r="66">
      <c r="A66" t="inlineStr">
        <is>
          <t>10</t>
        </is>
      </c>
      <c r="B66" t="n">
        <v>204.03605</v>
      </c>
      <c r="C66" t="n">
        <v>1.951170000000002</v>
      </c>
      <c r="D66" t="n">
        <v>1.799979700000001</v>
      </c>
      <c r="E66" t="n">
        <v>4.395056100000002</v>
      </c>
    </row>
    <row r="67">
      <c r="A67" t="inlineStr">
        <is>
          <t>15</t>
        </is>
      </c>
      <c r="B67" t="n">
        <v>210.2898</v>
      </c>
      <c r="C67" t="n">
        <v>2.376425</v>
      </c>
      <c r="D67" t="n">
        <v>1.97433425</v>
      </c>
      <c r="E67" t="n">
        <v>4.960645250000001</v>
      </c>
    </row>
    <row r="68">
      <c r="A68" t="inlineStr">
        <is>
          <t>20</t>
        </is>
      </c>
      <c r="B68" t="n">
        <v>227.8003</v>
      </c>
      <c r="C68" t="n">
        <v>2.501499999999999</v>
      </c>
      <c r="D68" t="n">
        <v>2.025614999999999</v>
      </c>
      <c r="E68" t="n">
        <v>5.126994999999998</v>
      </c>
    </row>
    <row r="69">
      <c r="A69" t="inlineStr">
        <is>
          <t>25</t>
        </is>
      </c>
      <c r="B69" t="n">
        <v>235.3048</v>
      </c>
      <c r="C69" t="n">
        <v>1.650990000000002</v>
      </c>
      <c r="D69" t="n">
        <v>1.676905900000001</v>
      </c>
      <c r="E69" t="n">
        <v>3.995816700000002</v>
      </c>
    </row>
    <row r="70">
      <c r="A70" t="inlineStr">
        <is>
          <t>30</t>
        </is>
      </c>
      <c r="B70" t="n">
        <v>244.3102</v>
      </c>
      <c r="C70" t="n">
        <v>1.500899999999999</v>
      </c>
      <c r="D70" t="n">
        <v>1.615368999999999</v>
      </c>
      <c r="E70" t="n">
        <v>3.796196999999998</v>
      </c>
    </row>
    <row r="71">
      <c r="A71" t="inlineStr">
        <is>
          <t>35</t>
        </is>
      </c>
      <c r="B71" t="n">
        <v>250.3138</v>
      </c>
      <c r="C71" t="n">
        <v>1.250749999999999</v>
      </c>
      <c r="D71" t="n">
        <v>1.5128075</v>
      </c>
      <c r="E71" t="n">
        <v>3.463497499999999</v>
      </c>
    </row>
    <row r="72">
      <c r="A72" t="inlineStr">
        <is>
          <t>40</t>
        </is>
      </c>
      <c r="B72" t="n">
        <v>256.8177</v>
      </c>
      <c r="C72" t="n">
        <v>1.200720000000004</v>
      </c>
      <c r="D72" t="n">
        <v>1.492295200000002</v>
      </c>
      <c r="E72" t="n">
        <v>3.396957600000006</v>
      </c>
    </row>
    <row r="73">
      <c r="A73" t="inlineStr">
        <is>
          <t>45</t>
        </is>
      </c>
      <c r="B73" t="n">
        <v>262.321</v>
      </c>
      <c r="C73" t="n">
        <v>1.225734999999997</v>
      </c>
      <c r="D73" t="n">
        <v>1.502551349999999</v>
      </c>
      <c r="E73" t="n">
        <v>3.430227549999997</v>
      </c>
    </row>
    <row r="74">
      <c r="A74" t="inlineStr">
        <is>
          <t>50</t>
        </is>
      </c>
      <c r="B74" t="n">
        <v>269.07505</v>
      </c>
      <c r="C74" t="n">
        <v>1.200719999999996</v>
      </c>
      <c r="D74" t="n">
        <v>1.492295199999998</v>
      </c>
      <c r="E74" t="n">
        <v>3.396957599999994</v>
      </c>
    </row>
    <row r="75">
      <c r="A75" t="inlineStr">
        <is>
          <t>55</t>
        </is>
      </c>
      <c r="B75" t="n">
        <v>274.3282</v>
      </c>
      <c r="C75" t="n">
        <v>1.175705000000005</v>
      </c>
      <c r="D75" t="n">
        <v>1.482039050000002</v>
      </c>
      <c r="E75" t="n">
        <v>3.363687650000006</v>
      </c>
    </row>
    <row r="76">
      <c r="A76" t="inlineStr">
        <is>
          <t>60</t>
        </is>
      </c>
      <c r="B76" t="n">
        <v>280.8321</v>
      </c>
      <c r="C76" t="n">
        <v>1.300780000000003</v>
      </c>
      <c r="D76" t="n">
        <v>1.533319800000001</v>
      </c>
      <c r="E76" t="n">
        <v>3.530037400000004</v>
      </c>
    </row>
    <row r="77">
      <c r="A77" t="inlineStr">
        <is>
          <t>65</t>
        </is>
      </c>
      <c r="B77" t="n">
        <v>287.336</v>
      </c>
      <c r="C77" t="n">
        <v>1.325794999999999</v>
      </c>
      <c r="D77" t="n">
        <v>1.54357595</v>
      </c>
      <c r="E77" t="n">
        <v>3.56330735</v>
      </c>
    </row>
    <row r="78">
      <c r="A78" t="inlineStr">
        <is>
          <t>70</t>
        </is>
      </c>
      <c r="B78" t="n">
        <v>294.09005</v>
      </c>
      <c r="C78" t="n">
        <v>1.300779999999997</v>
      </c>
      <c r="D78" t="n">
        <v>1.533319799999999</v>
      </c>
      <c r="E78" t="n">
        <v>3.530037399999997</v>
      </c>
    </row>
    <row r="79">
      <c r="A79" t="inlineStr">
        <is>
          <t>75</t>
        </is>
      </c>
      <c r="B79" t="n">
        <v>300.3438</v>
      </c>
      <c r="C79" t="n">
        <v>1.55093</v>
      </c>
      <c r="D79" t="n">
        <v>1.6358813</v>
      </c>
      <c r="E79" t="n">
        <v>3.8627369</v>
      </c>
    </row>
    <row r="80">
      <c r="A80" t="inlineStr">
        <is>
          <t>80</t>
        </is>
      </c>
      <c r="B80" t="n">
        <v>309.59935</v>
      </c>
      <c r="C80" t="n">
        <v>1.801080000000002</v>
      </c>
      <c r="D80" t="n">
        <v>1.738442800000001</v>
      </c>
      <c r="E80" t="n">
        <v>4.195436400000003</v>
      </c>
    </row>
    <row r="81">
      <c r="A81" t="inlineStr">
        <is>
          <t>85</t>
        </is>
      </c>
      <c r="B81" t="n">
        <v>318.3546</v>
      </c>
      <c r="C81" t="n">
        <v>2.051229999999998</v>
      </c>
      <c r="D81" t="n">
        <v>1.841004299999999</v>
      </c>
      <c r="E81" t="n">
        <v>4.528135899999998</v>
      </c>
    </row>
    <row r="82">
      <c r="A82" t="inlineStr">
        <is>
          <t>90</t>
        </is>
      </c>
      <c r="B82" t="n">
        <v>330.11165</v>
      </c>
      <c r="C82" t="n">
        <v>2.726634999999999</v>
      </c>
      <c r="D82" t="n">
        <v>2.117920349999999</v>
      </c>
      <c r="E82" t="n">
        <v>5.426424549999999</v>
      </c>
    </row>
    <row r="83">
      <c r="A83" t="inlineStr">
        <is>
          <t>95</t>
        </is>
      </c>
      <c r="B83" t="n">
        <v>345.62095</v>
      </c>
      <c r="C83" t="n">
        <v>2.526515000000001</v>
      </c>
      <c r="D83" t="n">
        <v>2.03587115</v>
      </c>
      <c r="E83" t="n">
        <v>5.160264950000001</v>
      </c>
    </row>
    <row r="84">
      <c r="A84" t="inlineStr">
        <is>
          <t>100</t>
        </is>
      </c>
      <c r="B84" t="n">
        <v>355.3768</v>
      </c>
      <c r="C84" t="n">
        <v>1.951170000000002</v>
      </c>
      <c r="D84" t="n">
        <v>1.4024212</v>
      </c>
      <c r="E84" t="n">
        <v>3.919491400000001</v>
      </c>
    </row>
    <row r="85">
      <c r="A85" t="inlineStr"/>
    </row>
    <row r="86">
      <c r="A86">
        <f>= 5. Флаги политики на эталонных данных ==</f>
        <v/>
      </c>
    </row>
    <row r="87">
      <c r="A87" t="inlineStr">
        <is>
          <t>Flags:</t>
        </is>
      </c>
      <c r="B87" t="inlineStr">
        <is>
          <t>(нет — данные в каноне)</t>
        </is>
      </c>
    </row>
    <row r="88">
      <c r="A88" t="inlineStr"/>
    </row>
    <row r="89">
      <c r="A89" t="inlineStr">
        <is>
          <t>Как сверять: открыть книгу в Excel, F9 (полный пересчёт), сравнить</t>
        </is>
      </c>
    </row>
    <row r="90">
      <c r="A90" t="inlineStr">
        <is>
          <t>столбец T_corr листа «Расчёт» (F2:F22) со столбцом T_corr_ref здесь;</t>
        </is>
      </c>
    </row>
    <row r="91">
      <c r="A91" t="inlineStr">
        <is>
          <t>расхождение &gt; 0.5 °C в любой точке = контракт нарушен (регистрация в Техдолг).</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2026-10-07T05:46:22Z</dcterms:created>
  <dcterms:modified xmlns:dcterms="http://purl.org/dc/terms/" xmlns:xsi="http://www.w3.org/2001/XMLSchema-instance" xsi:type="dcterms:W3CDTF">2026-10-07T19:11:59Z</dcterms:modified>
  <cp:lastModifiedBy>Arhys</cp:lastModifiedBy>
</cp:coreProperties>
</file>