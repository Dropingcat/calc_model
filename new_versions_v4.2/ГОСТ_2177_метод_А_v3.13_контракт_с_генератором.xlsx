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945" yWindow="1620" windowWidth="22950" windowHeight="13875" tabRatio="600" firstSheet="0" activeTab="0" autoFilterDateGrouping="1"/>
  </bookViews>
  <sheets>
    <sheet xmlns:r="http://schemas.openxmlformats.org/officeDocument/2006/relationships" name="О книге" sheetId="1" state="visible" r:id="rId1"/>
    <sheet xmlns:r="http://schemas.openxmlformats.org/officeDocument/2006/relationships" name="Ввод" sheetId="2" state="visible" r:id="rId2"/>
    <sheet xmlns:r="http://schemas.openxmlformats.org/officeDocument/2006/relationships" name="Табл4" sheetId="3" state="visible" r:id="rId3"/>
    <sheet xmlns:r="http://schemas.openxmlformats.org/officeDocument/2006/relationships" name="Номограмма" sheetId="4" state="visible" r:id="rId4"/>
    <sheet xmlns:r="http://schemas.openxmlformats.org/officeDocument/2006/relationships" name="Расчёт" sheetId="5" state="visible" r:id="rId5"/>
    <sheet xmlns:r="http://schemas.openxmlformats.org/officeDocument/2006/relationships" name="Итог" sheetId="6" state="visible" r:id="rId6"/>
    <sheet xmlns:r="http://schemas.openxmlformats.org/officeDocument/2006/relationships" name="График" sheetId="7" state="visible" r:id="rId7"/>
    <sheet xmlns:r="http://schemas.openxmlformats.org/officeDocument/2006/relationships" name="Аудит_НД" sheetId="8" state="visible" r:id="rId8"/>
    <sheet xmlns:r="http://schemas.openxmlformats.org/officeDocument/2006/relationships" name="Техдолг" sheetId="9" state="visible" r:id="rId9"/>
    <sheet xmlns:r="http://schemas.openxmlformats.org/officeDocument/2006/relationships" name="Контракт_v313" sheetId="10" state="visible" r:id="rId10"/>
    <sheet xmlns:r="http://schemas.openxmlformats.org/officeDocument/2006/relationships" name="GUM_u(T)" sheetId="11" state="visible" r:id="rId11"/>
    <sheet xmlns:r="http://schemas.openxmlformats.org/officeDocument/2006/relationships" name="Реестр_НД" sheetId="12" state="visible" r:id="rId12"/>
  </sheets>
  <definedNames>
    <definedName name="_xlnm._FilterDatabase" localSheetId="7" hidden="1">'Аудит_НД'!$A$1:$G$13</definedName>
    <definedName name="_xlnm._FilterDatabase" localSheetId="8" hidden="1">'Техдолг'!$A$1:$E$9</definedName>
  </definedNames>
  <calcPr calcId="181029" calcMode="auto" fullCalcOnLoad="1" forceFullCalc="1"/>
</workbook>
</file>

<file path=xl/styles.xml><?xml version="1.0" encoding="utf-8"?>
<styleSheet xmlns="http://schemas.openxmlformats.org/spreadsheetml/2006/main">
  <numFmts count="3">
    <numFmt numFmtId="164" formatCode="0.0"/>
    <numFmt numFmtId="165" formatCode="0.000"/>
    <numFmt numFmtId="166" formatCode="0.0000"/>
  </numFmts>
  <fonts count="6">
    <font>
      <name val="Calibri"/>
      <family val="2"/>
      <color theme="1"/>
      <sz val="11"/>
      <scheme val="minor"/>
    </font>
    <font>
      <name val="Calibri"/>
      <b val="1"/>
      <sz val="11"/>
    </font>
    <font>
      <name val="Calibri"/>
      <i val="1"/>
      <color rgb="FF7F6000"/>
      <sz val="9"/>
    </font>
    <font>
      <b val="1"/>
    </font>
    <font>
      <b val="1"/>
      <sz val="11"/>
    </font>
    <font>
      <i val="1"/>
      <color rgb="007F6000"/>
      <sz val="9"/>
    </font>
  </fonts>
  <fills count="12">
    <fill>
      <patternFill/>
    </fill>
    <fill>
      <patternFill patternType="gray125"/>
    </fill>
    <fill>
      <patternFill patternType="solid">
        <fgColor rgb="FF4F81BD"/>
      </patternFill>
    </fill>
    <fill>
      <patternFill patternType="solid">
        <fgColor rgb="FFFFEB9C"/>
      </patternFill>
    </fill>
    <fill>
      <patternFill patternType="solid">
        <fgColor rgb="FFE2EFDA"/>
      </patternFill>
    </fill>
    <fill>
      <patternFill patternType="solid">
        <fgColor rgb="FFDDEBF7"/>
      </patternFill>
    </fill>
    <fill>
      <patternFill patternType="solid">
        <fgColor rgb="00FFF2CC"/>
      </patternFill>
    </fill>
    <fill>
      <patternFill patternType="solid">
        <fgColor rgb="004F81BD"/>
      </patternFill>
    </fill>
    <fill>
      <patternFill patternType="solid">
        <fgColor rgb="00FFEB9C"/>
      </patternFill>
    </fill>
    <fill>
      <patternFill patternType="solid">
        <fgColor rgb="00E2EFDA"/>
      </patternFill>
    </fill>
    <fill>
      <patternFill patternType="solid">
        <fgColor rgb="00DDEBF7"/>
      </patternFill>
    </fill>
    <fill>
      <patternFill patternType="solid">
        <fgColor rgb="00E4DFEC"/>
      </patternFill>
    </fill>
  </fills>
  <borders count="4">
    <border>
      <left/>
      <right/>
      <top/>
      <bottom/>
      <diagonal/>
    </border>
    <border>
      <left style="thin">
        <color rgb="FFB7B7B7"/>
      </left>
      <right style="thin">
        <color rgb="FFB7B7B7"/>
      </right>
      <top style="thin">
        <color rgb="FFB7B7B7"/>
      </top>
      <bottom style="thin">
        <color rgb="FFB7B7B7"/>
      </bottom>
      <diagonal/>
    </border>
    <border>
      <left style="thin">
        <color rgb="00B7B7B7"/>
      </left>
      <right style="thin">
        <color rgb="00B7B7B7"/>
      </right>
      <top style="thin">
        <color rgb="00B7B7B7"/>
      </top>
      <bottom style="thin">
        <color rgb="00B7B7B7"/>
      </bottom>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2" borderId="1" pivotButton="0" quotePrefix="0" xfId="0"/>
    <xf numFmtId="0" fontId="0" fillId="0" borderId="1" pivotButton="0" quotePrefix="0" xfId="0"/>
    <xf numFmtId="0" fontId="1" fillId="3" borderId="1" pivotButton="0" quotePrefix="0" xfId="0"/>
    <xf numFmtId="0" fontId="0" fillId="3" borderId="1" pivotButton="0" quotePrefix="0" xfId="0"/>
    <xf numFmtId="0" fontId="0" fillId="4" borderId="1" pivotButton="0" quotePrefix="0" xfId="0"/>
    <xf numFmtId="0" fontId="0" fillId="5" borderId="1" pivotButton="0" quotePrefix="0" xfId="0"/>
    <xf numFmtId="0" fontId="2" fillId="3" borderId="1" pivotButton="0" quotePrefix="0" xfId="0"/>
    <xf numFmtId="0" fontId="1" fillId="5" borderId="1" pivotButton="0" quotePrefix="0" xfId="0"/>
    <xf numFmtId="0" fontId="3" fillId="6" borderId="2" pivotButton="0" quotePrefix="0" xfId="0"/>
    <xf numFmtId="0" fontId="4" fillId="6" borderId="2" pivotButton="0" quotePrefix="0" xfId="0"/>
    <xf numFmtId="0" fontId="3" fillId="7" borderId="2" pivotButton="0" quotePrefix="0" xfId="0"/>
    <xf numFmtId="164" fontId="0" fillId="9" borderId="2" pivotButton="0" quotePrefix="0" xfId="0"/>
    <xf numFmtId="164" fontId="0" fillId="10" borderId="2" pivotButton="0" quotePrefix="0" xfId="0"/>
    <xf numFmtId="2" fontId="0" fillId="10" borderId="2" pivotButton="0" quotePrefix="0" xfId="0"/>
    <xf numFmtId="0" fontId="0" fillId="10" borderId="2" pivotButton="0" quotePrefix="0" xfId="0"/>
    <xf numFmtId="0" fontId="5" fillId="8" borderId="2" pivotButton="0" quotePrefix="0" xfId="0"/>
    <xf numFmtId="0" fontId="4" fillId="11" borderId="2" pivotButton="0" quotePrefix="0" xfId="0"/>
    <xf numFmtId="165" fontId="0" fillId="10" borderId="2" pivotButton="0" quotePrefix="0" xfId="0"/>
    <xf numFmtId="0" fontId="3" fillId="11" borderId="2" pivotButton="0" quotePrefix="0" xfId="0"/>
    <xf numFmtId="166" fontId="0" fillId="10" borderId="2" pivotButton="0" quotePrefix="0" xfId="0"/>
    <xf numFmtId="0" fontId="3" fillId="8" borderId="2" pivotButton="0" quotePrefix="0" xfId="0"/>
    <xf numFmtId="0" fontId="3" fillId="0" borderId="3" applyAlignment="1" pivotButton="0" quotePrefix="0" xfId="0">
      <alignment vertical="top" wrapText="1"/>
    </xf>
    <xf numFmtId="0" fontId="0" fillId="0" borderId="3" applyAlignment="1" pivotButton="0" quotePrefix="0" xfId="0">
      <alignment vertical="top" wrapText="1"/>
    </xf>
  </cellXfs>
  <cellStyles count="1">
    <cellStyle name="Обычный" xfId="0" builtinId="0"/>
  </cellStyles>
  <dxfs count="1">
    <dxf>
      <font>
        <b val="1"/>
      </font>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Ветка 1 — дистилляция GOST 2177: эксперимент vs полином, R² = 'Расчёт'!B75</a:t>
            </a:r>
          </a:p>
        </rich>
      </tx>
    </title>
    <plotArea>
      <lineChart>
        <grouping val="standard"/>
        <ser>
          <idx val="0"/>
          <order val="0"/>
          <tx>
            <strRef>
              <f>'График'!B3</f>
            </strRef>
          </tx>
          <spPr>
            <a:ln xmlns:a="http://schemas.openxmlformats.org/drawingml/2006/main">
              <a:prstDash val="solid"/>
            </a:ln>
          </spPr>
          <marker>
            <symbol val="none"/>
            <spPr>
              <a:ln xmlns:a="http://schemas.openxmlformats.org/drawingml/2006/main">
                <a:prstDash val="solid"/>
              </a:ln>
            </spPr>
          </marker>
          <cat>
            <numRef>
              <f>'График'!$A$4:$A$24</f>
            </numRef>
          </cat>
          <val>
            <numRef>
              <f>'График'!$B$4:$B$24</f>
            </numRef>
          </val>
        </ser>
        <ser>
          <idx val="1"/>
          <order val="1"/>
          <tx>
            <strRef>
              <f>'График'!C3</f>
            </strRef>
          </tx>
          <spPr>
            <a:ln xmlns:a="http://schemas.openxmlformats.org/drawingml/2006/main">
              <a:prstDash val="solid"/>
            </a:ln>
          </spPr>
          <marker>
            <symbol val="none"/>
            <spPr>
              <a:ln xmlns:a="http://schemas.openxmlformats.org/drawingml/2006/main">
                <a:prstDash val="solid"/>
              </a:ln>
            </spPr>
          </marker>
          <val>
            <numRef>
              <f>'График'!$C$4:$C$24</f>
            </numRef>
          </val>
        </ser>
        <axId val="10"/>
        <axId val="100"/>
      </lineChart>
      <catAx>
        <axId val="10"/>
        <scaling>
          <orientation val="minMax"/>
        </scaling>
        <axPos val="l"/>
        <title>
          <tx>
            <rich>
              <a:bodyPr xmlns:a="http://schemas.openxmlformats.org/drawingml/2006/main"/>
              <a:p xmlns:a="http://schemas.openxmlformats.org/drawingml/2006/main">
                <a:pPr>
                  <a:defRPr/>
                </a:pPr>
                <a:r>
                  <a:t>Объём отгона, %</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Температура, °C</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Ветка 2 — T_НД (из НД, при 760) vs Vср, R² = 'Расчёт'!B102</a:t>
            </a:r>
          </a:p>
        </rich>
      </tx>
    </title>
    <plotArea>
      <lineChart>
        <grouping val="standard"/>
        <ser>
          <idx val="0"/>
          <order val="0"/>
          <tx>
            <strRef>
              <f>'График'!F3</f>
            </strRef>
          </tx>
          <spPr>
            <a:ln xmlns:a="http://schemas.openxmlformats.org/drawingml/2006/main">
              <a:prstDash val="solid"/>
            </a:ln>
          </spPr>
          <marker>
            <symbol val="none"/>
            <spPr>
              <a:ln xmlns:a="http://schemas.openxmlformats.org/drawingml/2006/main">
                <a:prstDash val="solid"/>
              </a:ln>
            </spPr>
          </marker>
          <cat>
            <numRef>
              <f>'График'!$E$4:$E$24</f>
            </numRef>
          </cat>
          <val>
            <numRef>
              <f>'График'!$F$4:$F$24</f>
            </numRef>
          </val>
        </ser>
        <ser>
          <idx val="1"/>
          <order val="1"/>
          <tx>
            <strRef>
              <f>'График'!G3</f>
            </strRef>
          </tx>
          <spPr>
            <a:ln xmlns:a="http://schemas.openxmlformats.org/drawingml/2006/main">
              <a:prstDash val="solid"/>
            </a:ln>
          </spPr>
          <marker>
            <symbol val="none"/>
            <spPr>
              <a:ln xmlns:a="http://schemas.openxmlformats.org/drawingml/2006/main">
                <a:prstDash val="solid"/>
              </a:ln>
            </spPr>
          </marker>
          <val>
            <numRef>
              <f>'График'!$G$4:$G$24</f>
            </numRef>
          </val>
        </ser>
        <axId val="10"/>
        <axId val="100"/>
      </lineChart>
      <catAx>
        <axId val="10"/>
        <scaling>
          <orientation val="minMax"/>
        </scaling>
        <axPos val="l"/>
        <title>
          <tx>
            <rich>
              <a:bodyPr xmlns:a="http://schemas.openxmlformats.org/drawingml/2006/main"/>
              <a:p xmlns:a="http://schemas.openxmlformats.org/drawingml/2006/main">
                <a:pPr>
                  <a:defRPr/>
                </a:pPr>
                <a:r>
                  <a:t>Vср, % (по двум параллелям)</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Температура, °C (T_НД, при 760)</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Normative audit</author>
  </authors>
  <commentList>
    <comment ref="A1" authorId="0" shapeId="0">
      <text>
        <t>ГОСТ 2177-99: барометрическое давление записывается с погрешностью не более 0,05 kPa (0,5 mbar, 0,38 mm Hg). Для Таблицы 4 диапазон 560–760 mm Hg; вне него corrected-loss calculation is not silently extrapolated.</t>
      </text>
    </comment>
  </commentList>
</comments>
</file>

<file path=xl/comments/comment2.xml><?xml version="1.0" encoding="utf-8"?>
<comments xmlns="http://schemas.openxmlformats.org/spreadsheetml/2006/main">
  <authors>
    <author>автоматизация</author>
  </authors>
  <commentList>
    <comment ref="A27"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 ref="A28"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 ref="A29"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4</col>
      <colOff>0</colOff>
      <row>27</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51</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3"/>
  <sheetViews>
    <sheetView tabSelected="1" workbookViewId="0">
      <selection activeCell="A1" sqref="A1"/>
    </sheetView>
  </sheetViews>
  <sheetFormatPr baseColWidth="8" defaultRowHeight="15"/>
  <cols>
    <col width="34" customWidth="1" min="1" max="1"/>
    <col width="70" customWidth="1" min="2" max="2"/>
  </cols>
  <sheetData>
    <row r="1">
      <c r="A1" s="1" t="inlineStr">
        <is>
          <t>Книга</t>
        </is>
      </c>
      <c r="B1" s="2" t="inlineStr">
        <is>
          <t>ГОСТ 2177 расчёт — метод А (ручной аппарат)</t>
        </is>
      </c>
    </row>
    <row r="2">
      <c r="A2" s="1" t="inlineStr">
        <is>
          <t>Версия</t>
        </is>
      </c>
      <c r="B2" s="2" t="inlineStr">
        <is>
          <t>3.12.0</t>
        </is>
      </c>
    </row>
    <row r="3">
      <c r="A3" s="1" t="inlineStr">
        <is>
          <t>Дата генерации</t>
        </is>
      </c>
      <c r="B3" s="2" t="inlineStr">
        <is>
          <t>2026-10-07</t>
        </is>
      </c>
    </row>
    <row r="4">
      <c r="A4" s="1" t="inlineStr">
        <is>
          <t>Стандарт</t>
        </is>
      </c>
      <c r="B4" s="2" t="inlineStr">
        <is>
          <t>ГОСТ 2177-99 (с Изм. №1, Поправкой к Изм. №1 2023)</t>
        </is>
      </c>
    </row>
    <row r="5">
      <c r="A5" s="1" t="inlineStr">
        <is>
          <t>Метод</t>
        </is>
      </c>
      <c r="B5" s="2" t="inlineStr">
        <is>
          <t>Определение фракционного состава, потери по таблице 4</t>
        </is>
      </c>
    </row>
    <row r="6">
      <c r="A6" s="1" t="inlineStr">
        <is>
          <t>Источник расчёта</t>
        </is>
      </c>
      <c r="B6" s="2" t="inlineStr">
        <is>
          <t>fraction_lib (Python)</t>
        </is>
      </c>
    </row>
    <row r="7">
      <c r="A7" s="1" t="inlineStr">
        <is>
          <t>Автор/Разработчик</t>
        </is>
      </c>
      <c r="B7" s="2" t="inlineStr">
        <is>
          <t>лаборатория (заполнить)</t>
        </is>
      </c>
    </row>
    <row r="8">
      <c r="A8" s="1" t="inlineStr">
        <is>
          <t>Проверил</t>
        </is>
      </c>
      <c r="B8" s="2" t="n"/>
    </row>
    <row r="9">
      <c r="A9" s="1" t="inlineStr">
        <is>
          <t>Утвердил</t>
        </is>
      </c>
      <c r="B9" s="2" t="n"/>
    </row>
    <row r="10">
      <c r="A10" s="1" t="inlineStr">
        <is>
          <t>Примечание</t>
        </is>
      </c>
      <c r="B10" s="2" t="inlineStr">
        <is>
          <t>Книга генерируется скриптом — правки вручную не вносить</t>
        </is>
      </c>
    </row>
    <row r="11">
      <c r="A11" s="3" t="inlineStr">
        <is>
          <t>Политика пустых ячеек (TD-007)</t>
        </is>
      </c>
      <c r="B11" s="4" t="inlineStr">
        <is>
          <t>Пустая ячейка = не введено (НЕ РАССЧИТАНО). Ошибка формулы = ошибка расчёта. Статус контроля: НЕ РАССЧИТАНО / OK / НЕ СООТВЕТСТВУЕТ.</t>
        </is>
      </c>
    </row>
    <row r="12">
      <c r="A12" s="3" t="inlineStr">
        <is>
          <t>Критерий K (ГСО)</t>
        </is>
      </c>
      <c r="B12" s="4" t="inlineStr">
        <is>
          <t>K = (1/√2)·√(R² − r²/2) — из свидетельства на ГСО, НЕ изменять</t>
        </is>
      </c>
    </row>
    <row r="13">
      <c r="A13" s="3" t="inlineStr">
        <is>
          <t>Коэффициент 0,84 (ОК)</t>
        </is>
      </c>
      <c r="B13" s="4" t="inlineStr">
        <is>
          <t>Аудит 2026-10-07: workbook-level correction against current registered edition; generator/source synchronization remains a tech debt item.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2" customWidth="1" min="2" max="3"/>
    <col width="14" customWidth="1" min="4" max="4"/>
  </cols>
  <sheetData>
    <row r="1">
      <c r="A1" s="1" t="inlineStr">
        <is>
          <t>Атмосферное давление, мм рт.ст.</t>
        </is>
      </c>
      <c r="B1" s="5" t="n">
        <v>700</v>
      </c>
      <c r="D1" s="1" t="inlineStr">
        <is>
          <t>Группа (1 или 2-4)</t>
        </is>
      </c>
      <c r="E1" s="5" t="n">
        <v>1</v>
      </c>
      <c r="F1" s="1" t="inlineStr">
        <is>
          <t>Объём образца, мл</t>
        </is>
      </c>
      <c r="G1" s="5" t="n">
        <v>100</v>
      </c>
    </row>
    <row r="3">
      <c r="A3" s="1" t="inlineStr">
        <is>
          <t>% отгона</t>
        </is>
      </c>
      <c r="B3" s="1" t="inlineStr">
        <is>
          <t>V, мл</t>
        </is>
      </c>
      <c r="C3" s="1" t="inlineStr">
        <is>
          <t>T1, °C</t>
        </is>
      </c>
      <c r="D3" s="1" t="inlineStr">
        <is>
          <t>T2, °C</t>
        </is>
      </c>
      <c r="E3" s="1" t="inlineStr">
        <is>
          <t>Потери, %</t>
        </is>
      </c>
      <c r="F3" s="1" t="inlineStr">
        <is>
          <t>Остаток, %</t>
        </is>
      </c>
      <c r="G3" s="1" t="inlineStr">
        <is>
          <t>Отгон, %</t>
        </is>
      </c>
    </row>
    <row r="4">
      <c r="A4" s="6">
        <f>IF(ISNUMBER(B4),ROUND(B4/$G$1*100,1),"НК")</f>
        <v/>
      </c>
      <c r="B4" s="5" t="n">
        <v>0</v>
      </c>
      <c r="C4" s="5" t="n">
        <v>131</v>
      </c>
      <c r="D4" s="5" t="n">
        <v>131</v>
      </c>
    </row>
    <row r="5">
      <c r="A5" s="6">
        <f>IF(ISNUMBER(B5),ROUND(B5/$G$1*100,1),"5")</f>
        <v/>
      </c>
      <c r="B5" s="5" t="n">
        <v>5</v>
      </c>
      <c r="C5" s="5" t="n">
        <v>152.5</v>
      </c>
      <c r="D5" s="5" t="n">
        <v>152.5</v>
      </c>
    </row>
    <row r="6">
      <c r="A6" s="6">
        <f>IF(ISNUMBER(B6),ROUND(B6/$G$1*100,1),"10")</f>
        <v/>
      </c>
      <c r="B6" s="5" t="n">
        <v>10</v>
      </c>
      <c r="C6" s="5" t="n">
        <v>158.25</v>
      </c>
      <c r="D6" s="5" t="n">
        <v>158.25</v>
      </c>
    </row>
    <row r="7">
      <c r="A7" s="6">
        <f>IF(ISNUMBER(B7),ROUND(B7/$G$1*100,1),"15")</f>
        <v/>
      </c>
      <c r="B7" s="5" t="n">
        <v>15</v>
      </c>
      <c r="C7" s="5" t="n">
        <v>163</v>
      </c>
      <c r="D7" s="5" t="n">
        <v>163</v>
      </c>
    </row>
    <row r="8">
      <c r="A8" s="6">
        <f>IF(ISNUMBER(B8),ROUND(B8/$G$1*100,1),"20")</f>
        <v/>
      </c>
      <c r="B8" s="5" t="n">
        <v>20</v>
      </c>
      <c r="C8" s="5" t="n">
        <v>168.5</v>
      </c>
      <c r="D8" s="5" t="n">
        <v>168.5</v>
      </c>
    </row>
    <row r="9">
      <c r="A9" s="6">
        <f>IF(ISNUMBER(B9),ROUND(B9/$G$1*100,1),"25")</f>
        <v/>
      </c>
      <c r="B9" s="5" t="n">
        <v>25</v>
      </c>
      <c r="C9" s="5" t="n">
        <v>171</v>
      </c>
      <c r="D9" s="5" t="n">
        <v>171</v>
      </c>
    </row>
    <row r="10">
      <c r="A10" s="6">
        <f>IF(ISNUMBER(B10),ROUND(B10/$G$1*100,1),"30")</f>
        <v/>
      </c>
      <c r="B10" s="5" t="n">
        <v>30</v>
      </c>
      <c r="C10" s="5" t="n">
        <v>173.5</v>
      </c>
      <c r="D10" s="5" t="n">
        <v>173.5</v>
      </c>
    </row>
    <row r="11">
      <c r="A11" s="6">
        <f>IF(ISNUMBER(B11),ROUND(B11/$G$1*100,1),"35")</f>
        <v/>
      </c>
      <c r="B11" s="5" t="n">
        <v>35</v>
      </c>
      <c r="C11" s="5" t="n">
        <v>176</v>
      </c>
      <c r="D11" s="5" t="n">
        <v>176</v>
      </c>
    </row>
    <row r="12">
      <c r="A12" s="6">
        <f>IF(ISNUMBER(B12),ROUND(B12/$G$1*100,1),"40")</f>
        <v/>
      </c>
      <c r="B12" s="5" t="n">
        <v>40</v>
      </c>
      <c r="C12" s="5" t="n">
        <v>179.75</v>
      </c>
      <c r="D12" s="5" t="n">
        <v>179.75</v>
      </c>
    </row>
    <row r="13">
      <c r="A13" s="6">
        <f>IF(ISNUMBER(B13),ROUND(B13/$G$1*100,1),"45")</f>
        <v/>
      </c>
      <c r="B13" s="5" t="n">
        <v>45</v>
      </c>
      <c r="C13" s="5" t="n">
        <v>182</v>
      </c>
      <c r="D13" s="5" t="n">
        <v>182</v>
      </c>
    </row>
    <row r="14">
      <c r="A14" s="6">
        <f>IF(ISNUMBER(B14),ROUND(B14/$G$1*100,1),"50")</f>
        <v/>
      </c>
      <c r="B14" s="5" t="n">
        <v>50</v>
      </c>
      <c r="C14" s="5" t="n">
        <v>185.5</v>
      </c>
      <c r="D14" s="5" t="n">
        <v>185.5</v>
      </c>
    </row>
    <row r="15">
      <c r="A15" s="6">
        <f>IF(ISNUMBER(B15),ROUND(B15/$G$1*100,1),"55")</f>
        <v/>
      </c>
      <c r="B15" s="5" t="n">
        <v>55</v>
      </c>
      <c r="C15" s="5" t="n">
        <v>188</v>
      </c>
      <c r="D15" s="5" t="n">
        <v>188</v>
      </c>
    </row>
    <row r="16">
      <c r="A16" s="6">
        <f>IF(ISNUMBER(B16),ROUND(B16/$G$1*100,1),"60")</f>
        <v/>
      </c>
      <c r="B16" s="5" t="n">
        <v>60</v>
      </c>
      <c r="C16" s="5" t="n">
        <v>191.75</v>
      </c>
      <c r="D16" s="5" t="n">
        <v>191.75</v>
      </c>
    </row>
    <row r="17">
      <c r="A17" s="6">
        <f>IF(ISNUMBER(B17),ROUND(B17/$G$1*100,1),"65")</f>
        <v/>
      </c>
      <c r="B17" s="5" t="n">
        <v>65</v>
      </c>
      <c r="C17" s="5" t="n">
        <v>195</v>
      </c>
      <c r="D17" s="5" t="n">
        <v>195</v>
      </c>
    </row>
    <row r="18">
      <c r="A18" s="6">
        <f>IF(ISNUMBER(B18),ROUND(B18/$G$1*100,1),"70")</f>
        <v/>
      </c>
      <c r="B18" s="5" t="n">
        <v>70</v>
      </c>
      <c r="C18" s="5" t="n">
        <v>198.5</v>
      </c>
      <c r="D18" s="5" t="n">
        <v>198.5</v>
      </c>
    </row>
    <row r="19">
      <c r="A19" s="6">
        <f>IF(ISNUMBER(B19),ROUND(B19/$G$1*100,1),"75")</f>
        <v/>
      </c>
      <c r="B19" s="5" t="n">
        <v>75</v>
      </c>
      <c r="C19" s="5" t="n">
        <v>201</v>
      </c>
      <c r="D19" s="5" t="n">
        <v>201</v>
      </c>
    </row>
    <row r="20">
      <c r="A20" s="6">
        <f>IF(ISNUMBER(B20),ROUND(B20/$G$1*100,1),"80")</f>
        <v/>
      </c>
      <c r="B20" s="5" t="n">
        <v>80</v>
      </c>
      <c r="C20" s="5" t="n">
        <v>206.5</v>
      </c>
      <c r="D20" s="5" t="n">
        <v>206.5</v>
      </c>
    </row>
    <row r="21">
      <c r="A21" s="6">
        <f>IF(ISNUMBER(B21),ROUND(B21/$G$1*100,1),"85")</f>
        <v/>
      </c>
      <c r="B21" s="5" t="n">
        <v>85</v>
      </c>
      <c r="C21" s="5" t="n">
        <v>211</v>
      </c>
      <c r="D21" s="5" t="n">
        <v>211</v>
      </c>
    </row>
    <row r="22">
      <c r="A22" s="6">
        <f>IF(ISNUMBER(B22),ROUND(B22/$G$1*100,1),"90")</f>
        <v/>
      </c>
      <c r="B22" s="5" t="n">
        <v>90</v>
      </c>
      <c r="C22" s="5" t="n">
        <v>216.5</v>
      </c>
      <c r="D22" s="5" t="n">
        <v>216.5</v>
      </c>
    </row>
    <row r="23">
      <c r="A23" s="6">
        <f>IF(ISNUMBER(B23),ROUND(B23/$G$1*100,1),"95")</f>
        <v/>
      </c>
      <c r="B23" s="5" t="n">
        <v>95</v>
      </c>
      <c r="C23" s="5" t="n">
        <v>224</v>
      </c>
      <c r="D23" s="5" t="n">
        <v>224</v>
      </c>
    </row>
    <row r="24">
      <c r="A24" s="6">
        <f>IF(ISNUMBER(B24),ROUND(B24/$G$1*100,1),"КК")</f>
        <v/>
      </c>
      <c r="B24" s="5" t="n">
        <v>100</v>
      </c>
      <c r="C24" s="5" t="n">
        <v>234.25</v>
      </c>
      <c r="D24" s="5" t="n">
        <v>234.25</v>
      </c>
    </row>
    <row r="25">
      <c r="E25" s="5" t="n">
        <v>0.5</v>
      </c>
      <c r="F25" s="5" t="n">
        <v>1</v>
      </c>
      <c r="G25" s="6">
        <f>100-E25-F25</f>
        <v/>
      </c>
    </row>
  </sheetData>
  <dataValidations count="3">
    <dataValidation sqref="B1" showDropDown="0" showInputMessage="0" showErrorMessage="1" allowBlank="0" errorTitle="Ошибка ввода" error="Давление вне диапазона 560-760 мм рт.ст." type="whole">
      <formula1>560</formula1>
      <formula2>760</formula2>
    </dataValidation>
    <dataValidation sqref="C4 C5 C6 C7 C8 C9 C10 C11 C12 C13 C14 C15 C16 C17 C18 C19 C20 C21 C22 C23 C24 D4 D5 D6 D7 D8 D9 D10 D11 D12 D13 D14 D15 D16 D17 D18 D19 D20 D21 D22 D23 D24" showDropDown="0" showInputMessage="0" showErrorMessage="1" allowBlank="1" error="Температура вне диапазона 0-500°C" type="decimal">
      <formula1>0</formula1>
      <formula2>500</formula2>
    </dataValidation>
    <dataValidation sqref="E25 F25" showDropDown="0" showInputMessage="0" showErrorMessage="1" allowBlank="1" error="Потери вне диапазона 0.0-5.0%" type="decimal">
      <formula1>0</formula1>
      <formula2>5</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sheetData>
    <row r="1">
      <c r="A1" s="1" t="inlineStr">
        <is>
          <t>Давление, мм</t>
        </is>
      </c>
      <c r="B1" s="1" t="inlineStr">
        <is>
          <t>A</t>
        </is>
      </c>
      <c r="C1" s="1" t="inlineStr">
        <is>
          <t>B</t>
        </is>
      </c>
    </row>
    <row r="2">
      <c r="A2" s="2" t="n">
        <v>560</v>
      </c>
      <c r="B2" s="2" t="n">
        <v>0.231</v>
      </c>
      <c r="C2" s="2" t="n">
        <v>0.384</v>
      </c>
    </row>
    <row r="3">
      <c r="A3" s="2" t="n">
        <v>570</v>
      </c>
      <c r="B3" s="2" t="n">
        <v>0.24</v>
      </c>
      <c r="C3" s="2" t="n">
        <v>0.38</v>
      </c>
    </row>
    <row r="4">
      <c r="A4" s="2" t="n">
        <v>580</v>
      </c>
      <c r="B4" s="2" t="n">
        <v>0.25</v>
      </c>
      <c r="C4" s="2" t="n">
        <v>0.375</v>
      </c>
    </row>
    <row r="5">
      <c r="A5" s="2" t="n">
        <v>590</v>
      </c>
      <c r="B5" s="2" t="n">
        <v>0.261</v>
      </c>
      <c r="C5" s="2" t="n">
        <v>0.369</v>
      </c>
    </row>
    <row r="6">
      <c r="A6" s="2" t="n">
        <v>600</v>
      </c>
      <c r="B6" s="2" t="n">
        <v>0.273</v>
      </c>
      <c r="C6" s="2" t="n">
        <v>0.363</v>
      </c>
    </row>
    <row r="7">
      <c r="A7" s="2" t="n">
        <v>610</v>
      </c>
      <c r="B7" s="2" t="n">
        <v>0.286</v>
      </c>
      <c r="C7" s="2" t="n">
        <v>0.357</v>
      </c>
    </row>
    <row r="8">
      <c r="A8" s="2" t="n">
        <v>620</v>
      </c>
      <c r="B8" s="2" t="n">
        <v>0.3</v>
      </c>
      <c r="C8" s="2" t="n">
        <v>0.35</v>
      </c>
    </row>
    <row r="9">
      <c r="A9" s="2" t="n">
        <v>630</v>
      </c>
      <c r="B9" s="2" t="n">
        <v>0.316</v>
      </c>
      <c r="C9" s="2" t="n">
        <v>0.342</v>
      </c>
    </row>
    <row r="10">
      <c r="A10" s="2" t="n">
        <v>640</v>
      </c>
      <c r="B10" s="2" t="n">
        <v>0.333</v>
      </c>
      <c r="C10" s="2" t="n">
        <v>0.333</v>
      </c>
    </row>
    <row r="11">
      <c r="A11" s="2" t="n">
        <v>650</v>
      </c>
      <c r="B11" s="2" t="n">
        <v>0.353</v>
      </c>
      <c r="C11" s="2" t="n">
        <v>0.323</v>
      </c>
    </row>
    <row r="12">
      <c r="A12" s="2" t="n">
        <v>660</v>
      </c>
      <c r="B12" s="2" t="n">
        <v>0.375</v>
      </c>
      <c r="C12" s="2" t="n">
        <v>0.312</v>
      </c>
    </row>
    <row r="13">
      <c r="A13" s="2" t="n">
        <v>670</v>
      </c>
      <c r="B13" s="2" t="n">
        <v>0.4</v>
      </c>
      <c r="C13" s="2" t="n">
        <v>0.3</v>
      </c>
    </row>
    <row r="14">
      <c r="A14" s="2" t="n">
        <v>680</v>
      </c>
      <c r="B14" s="2" t="n">
        <v>0.428</v>
      </c>
      <c r="C14" s="2" t="n">
        <v>0.286</v>
      </c>
    </row>
    <row r="15">
      <c r="A15" s="2" t="n">
        <v>690</v>
      </c>
      <c r="B15" s="2" t="n">
        <v>0.461</v>
      </c>
      <c r="C15" s="2" t="n">
        <v>0.269</v>
      </c>
    </row>
    <row r="16">
      <c r="A16" s="2" t="n">
        <v>700</v>
      </c>
      <c r="B16" s="2" t="n">
        <v>0.5</v>
      </c>
      <c r="C16" s="2" t="n">
        <v>0.25</v>
      </c>
    </row>
    <row r="17">
      <c r="A17" s="2" t="n">
        <v>710</v>
      </c>
      <c r="B17" s="2" t="n">
        <v>0.545</v>
      </c>
      <c r="C17" s="2" t="n">
        <v>0.227</v>
      </c>
    </row>
    <row r="18">
      <c r="A18" s="2" t="n">
        <v>720</v>
      </c>
      <c r="B18" s="2" t="n">
        <v>0.6</v>
      </c>
      <c r="C18" s="2" t="n">
        <v>0.2</v>
      </c>
    </row>
    <row r="19">
      <c r="A19" s="2" t="n">
        <v>730</v>
      </c>
      <c r="B19" s="2" t="n">
        <v>0.667</v>
      </c>
      <c r="C19" s="2" t="n">
        <v>0.166</v>
      </c>
    </row>
    <row r="20">
      <c r="A20" s="2" t="n">
        <v>740</v>
      </c>
      <c r="B20" s="2" t="n">
        <v>0.75</v>
      </c>
      <c r="C20" s="2" t="n">
        <v>0.125</v>
      </c>
    </row>
    <row r="21">
      <c r="A21" s="2" t="n">
        <v>750</v>
      </c>
      <c r="B21" s="2" t="n">
        <v>0.857</v>
      </c>
      <c r="C21" s="2" t="n">
        <v>0.07099999999999999</v>
      </c>
    </row>
    <row r="22">
      <c r="A22" s="2" t="n">
        <v>760</v>
      </c>
      <c r="B22" s="2" t="n">
        <v>1</v>
      </c>
      <c r="C22" s="2"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4" customWidth="1" min="1" max="1"/>
    <col width="8" customWidth="1" min="2" max="3"/>
  </cols>
  <sheetData>
    <row r="1">
      <c r="A1" s="1" t="inlineStr">
        <is>
          <t>S</t>
        </is>
      </c>
      <c r="B1" s="1" t="inlineStr">
        <is>
          <t>r нач.кип</t>
        </is>
      </c>
      <c r="C1" s="1" t="inlineStr">
        <is>
          <t>r конц.кип</t>
        </is>
      </c>
      <c r="D1" s="1" t="inlineStr">
        <is>
          <t>r зад.%</t>
        </is>
      </c>
      <c r="E1" s="1" t="inlineStr">
        <is>
          <t>R нач.кип</t>
        </is>
      </c>
      <c r="F1" s="1" t="inlineStr">
        <is>
          <t>R конц.кип</t>
        </is>
      </c>
      <c r="G1" s="1" t="inlineStr">
        <is>
          <t>R зад.%</t>
        </is>
      </c>
      <c r="I1" s="7" t="inlineStr">
        <is>
          <t>Оцифровка рисунка 6 (ГОСТ 2177-99) из легаси-файла, шаг 0.1 °C/%. НЕ формула. Валидировано по легаси Excel (TD-2177-006).</t>
        </is>
      </c>
    </row>
    <row r="2">
      <c r="A2" s="2" t="n">
        <v>5</v>
      </c>
      <c r="B2" s="2" t="n">
        <v>3</v>
      </c>
      <c r="C2" s="2" t="n">
        <v>2.5</v>
      </c>
      <c r="D2" s="2" t="n">
        <v>4</v>
      </c>
      <c r="E2" s="2" t="n">
        <v>7.5</v>
      </c>
      <c r="F2" s="2" t="n">
        <v>5.5</v>
      </c>
      <c r="G2" s="2" t="n">
        <v>8</v>
      </c>
    </row>
    <row r="3">
      <c r="A3" s="2" t="n">
        <v>4.9</v>
      </c>
      <c r="B3" s="2" t="n">
        <v>3</v>
      </c>
      <c r="C3" s="2" t="n">
        <v>2.5</v>
      </c>
      <c r="D3" s="2" t="n">
        <v>4</v>
      </c>
      <c r="E3" s="2" t="n">
        <v>7</v>
      </c>
      <c r="F3" s="2" t="n">
        <v>5</v>
      </c>
      <c r="G3" s="2" t="n">
        <v>8</v>
      </c>
    </row>
    <row r="4">
      <c r="A4" s="2" t="n">
        <v>4.8</v>
      </c>
      <c r="B4" s="2" t="n">
        <v>2.5</v>
      </c>
      <c r="C4" s="2" t="n">
        <v>2.5</v>
      </c>
      <c r="D4" s="2" t="n">
        <v>3</v>
      </c>
      <c r="E4" s="2" t="n">
        <v>7</v>
      </c>
      <c r="F4" s="2" t="n">
        <v>5</v>
      </c>
      <c r="G4" s="2" t="n">
        <v>8</v>
      </c>
    </row>
    <row r="5">
      <c r="A5" s="2" t="n">
        <v>4.7</v>
      </c>
      <c r="B5" s="2" t="n">
        <v>2.5</v>
      </c>
      <c r="C5" s="2" t="n">
        <v>2.5</v>
      </c>
      <c r="D5" s="2" t="n">
        <v>3</v>
      </c>
      <c r="E5" s="2" t="n">
        <v>7</v>
      </c>
      <c r="F5" s="2" t="n">
        <v>5</v>
      </c>
      <c r="G5" s="2" t="n">
        <v>8</v>
      </c>
    </row>
    <row r="6">
      <c r="A6" s="2" t="n">
        <v>4.6</v>
      </c>
      <c r="B6" s="2" t="n">
        <v>2.5</v>
      </c>
      <c r="C6" s="2" t="n">
        <v>2.5</v>
      </c>
      <c r="D6" s="2" t="n">
        <v>3</v>
      </c>
      <c r="E6" s="2" t="n">
        <v>7</v>
      </c>
      <c r="F6" s="2" t="n">
        <v>5</v>
      </c>
      <c r="G6" s="2" t="n">
        <v>8</v>
      </c>
    </row>
    <row r="7">
      <c r="A7" s="2" t="n">
        <v>4.5</v>
      </c>
      <c r="B7" s="2" t="n">
        <v>2.5</v>
      </c>
      <c r="C7" s="2" t="n">
        <v>2.5</v>
      </c>
      <c r="D7" s="2" t="n">
        <v>3</v>
      </c>
      <c r="E7" s="2" t="n">
        <v>7</v>
      </c>
      <c r="F7" s="2" t="n">
        <v>5</v>
      </c>
      <c r="G7" s="2" t="n">
        <v>8</v>
      </c>
    </row>
    <row r="8">
      <c r="A8" s="2" t="n">
        <v>4.4</v>
      </c>
      <c r="B8" s="2" t="n">
        <v>2.5</v>
      </c>
      <c r="C8" s="2" t="n">
        <v>2.5</v>
      </c>
      <c r="D8" s="2" t="n">
        <v>3</v>
      </c>
      <c r="E8" s="2" t="n">
        <v>7</v>
      </c>
      <c r="F8" s="2" t="n">
        <v>5</v>
      </c>
      <c r="G8" s="2" t="n">
        <v>7.5</v>
      </c>
    </row>
    <row r="9">
      <c r="A9" s="2" t="n">
        <v>4.3</v>
      </c>
      <c r="B9" s="2" t="n">
        <v>2.5</v>
      </c>
      <c r="C9" s="2" t="n">
        <v>2.5</v>
      </c>
      <c r="D9" s="2" t="n">
        <v>3</v>
      </c>
      <c r="E9" s="2" t="n">
        <v>7</v>
      </c>
      <c r="F9" s="2" t="n">
        <v>5</v>
      </c>
      <c r="G9" s="2" t="n">
        <v>7.5</v>
      </c>
    </row>
    <row r="10">
      <c r="A10" s="2" t="n">
        <v>4.2</v>
      </c>
      <c r="B10" s="2" t="n">
        <v>2.5</v>
      </c>
      <c r="C10" s="2" t="n">
        <v>2.5</v>
      </c>
      <c r="D10" s="2" t="n">
        <v>2.5</v>
      </c>
      <c r="E10" s="2" t="n">
        <v>7</v>
      </c>
      <c r="F10" s="2" t="n">
        <v>5</v>
      </c>
      <c r="G10" s="2" t="n">
        <v>7.5</v>
      </c>
    </row>
    <row r="11">
      <c r="A11" s="2" t="n">
        <v>4.1</v>
      </c>
      <c r="B11" s="2" t="n">
        <v>2.5</v>
      </c>
      <c r="C11" s="2" t="n">
        <v>2.5</v>
      </c>
      <c r="D11" s="2" t="n">
        <v>2.5</v>
      </c>
      <c r="E11" s="2" t="n">
        <v>6.5</v>
      </c>
      <c r="F11" s="2" t="n">
        <v>5</v>
      </c>
      <c r="G11" s="2" t="n">
        <v>7.5</v>
      </c>
    </row>
    <row r="12">
      <c r="A12" s="2" t="n">
        <v>4</v>
      </c>
      <c r="B12" s="2" t="n">
        <v>2.5</v>
      </c>
      <c r="C12" s="2" t="n">
        <v>2.5</v>
      </c>
      <c r="D12" s="2" t="n">
        <v>2.5</v>
      </c>
      <c r="E12" s="2" t="n">
        <v>6.5</v>
      </c>
      <c r="F12" s="2" t="n">
        <v>5</v>
      </c>
      <c r="G12" s="2" t="n">
        <v>7</v>
      </c>
    </row>
    <row r="13">
      <c r="A13" s="2" t="n">
        <v>3.9</v>
      </c>
      <c r="B13" s="2" t="n">
        <v>2.5</v>
      </c>
      <c r="C13" s="2" t="n">
        <v>2.5</v>
      </c>
      <c r="D13" s="2" t="n">
        <v>2.5</v>
      </c>
      <c r="E13" s="2" t="n">
        <v>6.5</v>
      </c>
      <c r="F13" s="2" t="n">
        <v>5</v>
      </c>
      <c r="G13" s="2" t="n">
        <v>7</v>
      </c>
    </row>
    <row r="14">
      <c r="A14" s="2" t="n">
        <v>3.8</v>
      </c>
      <c r="B14" s="2" t="n">
        <v>2.5</v>
      </c>
      <c r="C14" s="2" t="n">
        <v>2.5</v>
      </c>
      <c r="D14" s="2" t="n">
        <v>2.5</v>
      </c>
      <c r="E14" s="2" t="n">
        <v>6.5</v>
      </c>
      <c r="F14" s="2" t="n">
        <v>5</v>
      </c>
      <c r="G14" s="2" t="n">
        <v>7</v>
      </c>
    </row>
    <row r="15">
      <c r="A15" s="2" t="n">
        <v>3.7</v>
      </c>
      <c r="B15" s="2" t="n">
        <v>2.5</v>
      </c>
      <c r="C15" s="2" t="n">
        <v>2.5</v>
      </c>
      <c r="D15" s="2" t="n">
        <v>2.5</v>
      </c>
      <c r="E15" s="2" t="n">
        <v>6.5</v>
      </c>
      <c r="F15" s="2" t="n">
        <v>5</v>
      </c>
      <c r="G15" s="2" t="n">
        <v>7</v>
      </c>
    </row>
    <row r="16">
      <c r="A16" s="2" t="n">
        <v>3.6</v>
      </c>
      <c r="B16" s="2" t="n">
        <v>2.5</v>
      </c>
      <c r="C16" s="2" t="n">
        <v>2.5</v>
      </c>
      <c r="D16" s="2" t="n">
        <v>2.5</v>
      </c>
      <c r="E16" s="2" t="n">
        <v>6</v>
      </c>
      <c r="F16" s="2" t="n">
        <v>4.5</v>
      </c>
      <c r="G16" s="2" t="n">
        <v>6.5</v>
      </c>
    </row>
    <row r="17">
      <c r="A17" s="2" t="n">
        <v>3.5</v>
      </c>
      <c r="B17" s="2" t="n">
        <v>2.5</v>
      </c>
      <c r="C17" s="2" t="n">
        <v>2</v>
      </c>
      <c r="D17" s="2" t="n">
        <v>2.5</v>
      </c>
      <c r="E17" s="2" t="n">
        <v>6</v>
      </c>
      <c r="F17" s="2" t="n">
        <v>4.5</v>
      </c>
      <c r="G17" s="2" t="n">
        <v>6.5</v>
      </c>
    </row>
    <row r="18">
      <c r="A18" s="2" t="n">
        <v>3.4</v>
      </c>
      <c r="B18" s="2" t="n">
        <v>2.5</v>
      </c>
      <c r="C18" s="2" t="n">
        <v>2</v>
      </c>
      <c r="D18" s="2" t="n">
        <v>2.5</v>
      </c>
      <c r="E18" s="2" t="n">
        <v>6</v>
      </c>
      <c r="F18" s="2" t="n">
        <v>4.5</v>
      </c>
      <c r="G18" s="2" t="n">
        <v>6.5</v>
      </c>
    </row>
    <row r="19">
      <c r="A19" s="2" t="n">
        <v>3.3</v>
      </c>
      <c r="B19" s="2" t="n">
        <v>2</v>
      </c>
      <c r="C19" s="2" t="n">
        <v>2</v>
      </c>
      <c r="D19" s="2" t="n">
        <v>2.5</v>
      </c>
      <c r="E19" s="2" t="n">
        <v>6</v>
      </c>
      <c r="F19" s="2" t="n">
        <v>4.5</v>
      </c>
      <c r="G19" s="2" t="n">
        <v>6.5</v>
      </c>
    </row>
    <row r="20">
      <c r="A20" s="2" t="n">
        <v>3.2</v>
      </c>
      <c r="B20" s="2" t="n">
        <v>2</v>
      </c>
      <c r="C20" s="2" t="n">
        <v>2</v>
      </c>
      <c r="D20" s="2" t="n">
        <v>2.5</v>
      </c>
      <c r="E20" s="2" t="n">
        <v>6</v>
      </c>
      <c r="F20" s="2" t="n">
        <v>4.5</v>
      </c>
      <c r="G20" s="2" t="n">
        <v>6</v>
      </c>
    </row>
    <row r="21">
      <c r="A21" s="2" t="n">
        <v>3.1</v>
      </c>
      <c r="B21" s="2" t="n">
        <v>2</v>
      </c>
      <c r="C21" s="2" t="n">
        <v>2</v>
      </c>
      <c r="D21" s="2" t="n">
        <v>2.5</v>
      </c>
      <c r="E21" s="2" t="n">
        <v>5.5</v>
      </c>
      <c r="F21" s="2" t="n">
        <v>4.5</v>
      </c>
      <c r="G21" s="2" t="n">
        <v>6</v>
      </c>
    </row>
    <row r="22">
      <c r="A22" s="2" t="n">
        <v>3</v>
      </c>
      <c r="B22" s="2" t="n">
        <v>2</v>
      </c>
      <c r="C22" s="2" t="n">
        <v>2</v>
      </c>
      <c r="D22" s="2" t="n">
        <v>2.5</v>
      </c>
      <c r="E22" s="2" t="n">
        <v>5.5</v>
      </c>
      <c r="F22" s="2" t="n">
        <v>4.5</v>
      </c>
      <c r="G22" s="2" t="n">
        <v>6</v>
      </c>
    </row>
    <row r="23">
      <c r="A23" s="2" t="n">
        <v>2.9</v>
      </c>
      <c r="B23" s="2" t="n">
        <v>2</v>
      </c>
      <c r="C23" s="2" t="n">
        <v>2</v>
      </c>
      <c r="D23" s="2" t="n">
        <v>2.5</v>
      </c>
      <c r="E23" s="2" t="n">
        <v>5.5</v>
      </c>
      <c r="F23" s="2" t="n">
        <v>4.5</v>
      </c>
      <c r="G23" s="2" t="n">
        <v>5.5</v>
      </c>
    </row>
    <row r="24">
      <c r="A24" s="2" t="n">
        <v>2.8</v>
      </c>
      <c r="B24" s="2" t="n">
        <v>2</v>
      </c>
      <c r="C24" s="2" t="n">
        <v>2</v>
      </c>
      <c r="D24" s="2" t="n">
        <v>2.5</v>
      </c>
      <c r="E24" s="2" t="n">
        <v>5.5</v>
      </c>
      <c r="F24" s="2" t="n">
        <v>4.5</v>
      </c>
      <c r="G24" s="2" t="n">
        <v>5.5</v>
      </c>
    </row>
    <row r="25">
      <c r="A25" s="2" t="n">
        <v>2.7</v>
      </c>
      <c r="B25" s="2" t="n">
        <v>2</v>
      </c>
      <c r="C25" s="2" t="n">
        <v>2</v>
      </c>
      <c r="D25" s="2" t="n">
        <v>2.5</v>
      </c>
      <c r="E25" s="2" t="n">
        <v>5.5</v>
      </c>
      <c r="F25" s="2" t="n">
        <v>4.5</v>
      </c>
      <c r="G25" s="2" t="n">
        <v>5.5</v>
      </c>
    </row>
    <row r="26">
      <c r="A26" s="2" t="n">
        <v>2.6</v>
      </c>
      <c r="B26" s="2" t="n">
        <v>2</v>
      </c>
      <c r="C26" s="2" t="n">
        <v>2</v>
      </c>
      <c r="D26" s="2" t="n">
        <v>2.5</v>
      </c>
      <c r="E26" s="2" t="n">
        <v>5</v>
      </c>
      <c r="F26" s="2" t="n">
        <v>4.5</v>
      </c>
      <c r="G26" s="2" t="n">
        <v>5.5</v>
      </c>
    </row>
    <row r="27">
      <c r="A27" s="2" t="n">
        <v>2.5</v>
      </c>
      <c r="B27" s="2" t="n">
        <v>2</v>
      </c>
      <c r="C27" s="2" t="n">
        <v>2</v>
      </c>
      <c r="D27" s="2" t="n">
        <v>2.5</v>
      </c>
      <c r="E27" s="2" t="n">
        <v>5</v>
      </c>
      <c r="F27" s="2" t="n">
        <v>4.5</v>
      </c>
      <c r="G27" s="2" t="n">
        <v>5</v>
      </c>
    </row>
    <row r="28">
      <c r="A28" s="2" t="n">
        <v>2.4</v>
      </c>
      <c r="B28" s="2" t="n">
        <v>2</v>
      </c>
      <c r="C28" s="2" t="n">
        <v>2</v>
      </c>
      <c r="D28" s="2" t="n">
        <v>2</v>
      </c>
      <c r="E28" s="2" t="n">
        <v>5</v>
      </c>
      <c r="F28" s="2" t="n">
        <v>4</v>
      </c>
      <c r="G28" s="2" t="n">
        <v>5</v>
      </c>
    </row>
    <row r="29">
      <c r="A29" s="2" t="n">
        <v>2.3</v>
      </c>
      <c r="B29" s="2" t="n">
        <v>2</v>
      </c>
      <c r="C29" s="2" t="n">
        <v>2</v>
      </c>
      <c r="D29" s="2" t="n">
        <v>2</v>
      </c>
      <c r="E29" s="2" t="n">
        <v>5</v>
      </c>
      <c r="F29" s="2" t="n">
        <v>4</v>
      </c>
      <c r="G29" s="2" t="n">
        <v>5</v>
      </c>
    </row>
    <row r="30">
      <c r="A30" s="2" t="n">
        <v>2.2</v>
      </c>
      <c r="B30" s="2" t="n">
        <v>2</v>
      </c>
      <c r="C30" s="2" t="n">
        <v>2</v>
      </c>
      <c r="D30" s="2" t="n">
        <v>2</v>
      </c>
      <c r="E30" s="2" t="n">
        <v>5</v>
      </c>
      <c r="F30" s="2" t="n">
        <v>4</v>
      </c>
      <c r="G30" s="2" t="n">
        <v>5</v>
      </c>
    </row>
    <row r="31">
      <c r="A31" s="2" t="n">
        <v>2.1</v>
      </c>
      <c r="B31" s="2" t="n">
        <v>2</v>
      </c>
      <c r="C31" s="2" t="n">
        <v>1.5</v>
      </c>
      <c r="D31" s="2" t="n">
        <v>2</v>
      </c>
      <c r="E31" s="2" t="n">
        <v>4.5</v>
      </c>
      <c r="F31" s="2" t="n">
        <v>4</v>
      </c>
      <c r="G31" s="2" t="n">
        <v>4.5</v>
      </c>
    </row>
    <row r="32">
      <c r="A32" s="2" t="n">
        <v>2</v>
      </c>
      <c r="B32" s="2" t="n">
        <v>2</v>
      </c>
      <c r="C32" s="2" t="n">
        <v>1.5</v>
      </c>
      <c r="D32" s="2" t="n">
        <v>2</v>
      </c>
      <c r="E32" s="2" t="n">
        <v>4.5</v>
      </c>
      <c r="F32" s="2" t="n">
        <v>4</v>
      </c>
      <c r="G32" s="2" t="n">
        <v>4.5</v>
      </c>
    </row>
    <row r="33">
      <c r="A33" s="2" t="n">
        <v>1.9</v>
      </c>
      <c r="B33" s="2" t="n">
        <v>1.5</v>
      </c>
      <c r="C33" s="2" t="n">
        <v>1.5</v>
      </c>
      <c r="D33" s="2" t="n">
        <v>2</v>
      </c>
      <c r="E33" s="2" t="n">
        <v>4.5</v>
      </c>
      <c r="F33" s="2" t="n">
        <v>4</v>
      </c>
      <c r="G33" s="2" t="n">
        <v>4.5</v>
      </c>
    </row>
    <row r="34">
      <c r="A34" s="2" t="n">
        <v>1.8</v>
      </c>
      <c r="B34" s="2" t="n">
        <v>1.5</v>
      </c>
      <c r="C34" s="2" t="n">
        <v>1.5</v>
      </c>
      <c r="D34" s="2" t="n">
        <v>1.5</v>
      </c>
      <c r="E34" s="2" t="n">
        <v>4.5</v>
      </c>
      <c r="F34" s="2" t="n">
        <v>4</v>
      </c>
      <c r="G34" s="2" t="n">
        <v>4.5</v>
      </c>
    </row>
    <row r="35">
      <c r="A35" s="2" t="n">
        <v>1.7</v>
      </c>
      <c r="B35" s="2" t="n">
        <v>1.5</v>
      </c>
      <c r="C35" s="2" t="n">
        <v>1.5</v>
      </c>
      <c r="D35" s="2" t="n">
        <v>1.5</v>
      </c>
      <c r="E35" s="2" t="n">
        <v>4.5</v>
      </c>
      <c r="F35" s="2" t="n">
        <v>4</v>
      </c>
      <c r="G35" s="2" t="n">
        <v>4</v>
      </c>
    </row>
    <row r="36">
      <c r="A36" s="2" t="n">
        <v>1.6</v>
      </c>
      <c r="B36" s="2" t="n">
        <v>1.5</v>
      </c>
      <c r="C36" s="2" t="n">
        <v>1.5</v>
      </c>
      <c r="D36" s="2" t="n">
        <v>1.5</v>
      </c>
      <c r="E36" s="2" t="n">
        <v>4</v>
      </c>
      <c r="F36" s="2" t="n">
        <v>4</v>
      </c>
      <c r="G36" s="2" t="n">
        <v>4</v>
      </c>
    </row>
    <row r="37">
      <c r="A37" s="2" t="n">
        <v>1.5</v>
      </c>
      <c r="B37" s="2" t="n">
        <v>1.5</v>
      </c>
      <c r="C37" s="2" t="n">
        <v>1.5</v>
      </c>
      <c r="D37" s="2" t="n">
        <v>1.5</v>
      </c>
      <c r="E37" s="2" t="n">
        <v>4</v>
      </c>
      <c r="F37" s="2" t="n">
        <v>4</v>
      </c>
      <c r="G37" s="2" t="n">
        <v>4</v>
      </c>
    </row>
    <row r="38">
      <c r="A38" s="2" t="n">
        <v>1.4</v>
      </c>
      <c r="B38" s="2" t="n">
        <v>1.5</v>
      </c>
      <c r="C38" s="2" t="n">
        <v>1</v>
      </c>
      <c r="D38" s="2" t="n">
        <v>1.5</v>
      </c>
      <c r="E38" s="2" t="n">
        <v>4</v>
      </c>
      <c r="F38" s="2" t="n">
        <v>4</v>
      </c>
      <c r="G38" s="2" t="n">
        <v>4</v>
      </c>
    </row>
    <row r="39">
      <c r="A39" s="2" t="n">
        <v>1.3</v>
      </c>
      <c r="B39" s="2" t="n">
        <v>1.5</v>
      </c>
      <c r="C39" s="2" t="n">
        <v>1</v>
      </c>
      <c r="D39" s="2" t="n">
        <v>1.5</v>
      </c>
      <c r="E39" s="2" t="n">
        <v>4</v>
      </c>
      <c r="F39" s="2" t="n">
        <v>4</v>
      </c>
      <c r="G39" s="2" t="n">
        <v>3.5</v>
      </c>
    </row>
    <row r="40">
      <c r="A40" s="2" t="n">
        <v>1.2</v>
      </c>
      <c r="B40" s="2" t="n">
        <v>1.5</v>
      </c>
      <c r="C40" s="2" t="n">
        <v>1</v>
      </c>
      <c r="D40" s="2" t="n">
        <v>1.5</v>
      </c>
      <c r="E40" s="2" t="n">
        <v>4</v>
      </c>
      <c r="F40" s="2" t="n">
        <v>4</v>
      </c>
      <c r="G40" s="2" t="n">
        <v>3.5</v>
      </c>
    </row>
    <row r="41">
      <c r="A41" s="2" t="n">
        <v>1.1</v>
      </c>
      <c r="B41" s="2" t="n">
        <v>1.5</v>
      </c>
      <c r="C41" s="2" t="n">
        <v>1</v>
      </c>
      <c r="D41" s="2" t="n">
        <v>1.5</v>
      </c>
      <c r="E41" s="2" t="n">
        <v>3.5</v>
      </c>
      <c r="F41" s="2" t="n">
        <v>4</v>
      </c>
      <c r="G41" s="2" t="n">
        <v>3.5</v>
      </c>
    </row>
    <row r="42">
      <c r="A42" s="2" t="n">
        <v>1</v>
      </c>
      <c r="B42" s="2" t="n">
        <v>1.5</v>
      </c>
      <c r="C42" s="2" t="n">
        <v>1</v>
      </c>
      <c r="D42" s="2" t="n">
        <v>1.5</v>
      </c>
      <c r="E42" s="2" t="n">
        <v>3.5</v>
      </c>
      <c r="F42" s="2" t="n">
        <v>3.5</v>
      </c>
      <c r="G42" s="2" t="n">
        <v>3</v>
      </c>
    </row>
    <row r="43">
      <c r="A43" s="2" t="n">
        <v>0.9</v>
      </c>
      <c r="B43" s="2" t="n">
        <v>1.5</v>
      </c>
      <c r="C43" s="2" t="n">
        <v>1</v>
      </c>
      <c r="D43" s="2" t="n">
        <v>1.5</v>
      </c>
      <c r="E43" s="2" t="n">
        <v>3.5</v>
      </c>
      <c r="F43" s="2" t="n">
        <v>3.5</v>
      </c>
      <c r="G43" s="2" t="n">
        <v>3</v>
      </c>
    </row>
    <row r="44">
      <c r="A44" s="2" t="n">
        <v>0.8</v>
      </c>
      <c r="B44" s="2" t="n">
        <v>1.5</v>
      </c>
      <c r="C44" s="2" t="n">
        <v>1</v>
      </c>
      <c r="D44" s="2" t="n">
        <v>1.5</v>
      </c>
      <c r="E44" s="2" t="n">
        <v>3.5</v>
      </c>
      <c r="F44" s="2" t="n">
        <v>3.5</v>
      </c>
      <c r="G44" s="2" t="n">
        <v>3</v>
      </c>
    </row>
    <row r="45">
      <c r="A45" s="2" t="n">
        <v>0.7</v>
      </c>
      <c r="B45" s="2" t="n">
        <v>1.5</v>
      </c>
      <c r="C45" s="2" t="n">
        <v>1</v>
      </c>
      <c r="D45" s="2" t="n">
        <v>1.5</v>
      </c>
      <c r="E45" s="2" t="n">
        <v>3.5</v>
      </c>
      <c r="F45" s="2" t="n">
        <v>3.5</v>
      </c>
      <c r="G45" s="2" t="n">
        <v>3</v>
      </c>
    </row>
    <row r="46">
      <c r="A46" s="2" t="n">
        <v>0.6</v>
      </c>
      <c r="B46" s="2" t="n">
        <v>1.5</v>
      </c>
      <c r="C46" s="2" t="n">
        <v>1</v>
      </c>
      <c r="D46" s="2" t="n">
        <v>1.5</v>
      </c>
      <c r="E46" s="2" t="n">
        <v>3</v>
      </c>
      <c r="F46" s="2" t="n">
        <v>3.5</v>
      </c>
      <c r="G46" s="2" t="n">
        <v>2.5</v>
      </c>
    </row>
    <row r="47">
      <c r="A47" s="2" t="n">
        <v>0.5</v>
      </c>
      <c r="B47" s="2" t="n">
        <v>1</v>
      </c>
      <c r="C47" s="2" t="n">
        <v>1</v>
      </c>
      <c r="D47" s="2" t="n">
        <v>1</v>
      </c>
      <c r="E47" s="2" t="n">
        <v>3</v>
      </c>
      <c r="F47" s="2" t="n">
        <v>3.5</v>
      </c>
      <c r="G47" s="2" t="n">
        <v>2.5</v>
      </c>
    </row>
    <row r="48">
      <c r="A48" s="2" t="n">
        <v>0.4</v>
      </c>
      <c r="B48" s="2" t="n">
        <v>1</v>
      </c>
      <c r="C48" s="2" t="n">
        <v>1</v>
      </c>
      <c r="D48" s="2" t="n">
        <v>1</v>
      </c>
      <c r="E48" s="2" t="n">
        <v>3</v>
      </c>
      <c r="F48" s="2" t="n">
        <v>3</v>
      </c>
      <c r="G48" s="2" t="n">
        <v>2.5</v>
      </c>
    </row>
    <row r="49">
      <c r="A49" s="2" t="n">
        <v>0.3</v>
      </c>
      <c r="B49" s="2" t="n">
        <v>1</v>
      </c>
      <c r="C49" s="2" t="n">
        <v>1</v>
      </c>
      <c r="D49" s="2" t="n">
        <v>1</v>
      </c>
      <c r="E49" s="2" t="n">
        <v>3</v>
      </c>
      <c r="F49" s="2" t="n">
        <v>3</v>
      </c>
      <c r="G49" s="2" t="n">
        <v>2.5</v>
      </c>
    </row>
    <row r="50">
      <c r="A50" s="2" t="n">
        <v>0.2</v>
      </c>
      <c r="B50" s="2" t="n">
        <v>1</v>
      </c>
      <c r="C50" s="2" t="n">
        <v>1</v>
      </c>
      <c r="D50" s="2" t="n">
        <v>1</v>
      </c>
      <c r="E50" s="2" t="n">
        <v>3</v>
      </c>
      <c r="F50" s="2" t="n">
        <v>3</v>
      </c>
      <c r="G50" s="2" t="n">
        <v>2</v>
      </c>
    </row>
    <row r="51">
      <c r="A51" s="2" t="n">
        <v>0.1</v>
      </c>
      <c r="B51" s="2" t="n">
        <v>1</v>
      </c>
      <c r="C51" s="2" t="n">
        <v>0.5</v>
      </c>
      <c r="D51" s="2" t="n">
        <v>1</v>
      </c>
      <c r="E51" s="2" t="n">
        <v>3</v>
      </c>
      <c r="F51" s="2" t="n">
        <v>3</v>
      </c>
      <c r="G51" s="2" t="n">
        <v>2</v>
      </c>
    </row>
    <row r="52">
      <c r="A52" s="2" t="n">
        <v>0</v>
      </c>
      <c r="B52" s="2" t="n">
        <v>1</v>
      </c>
      <c r="C52" s="2" t="n">
        <v>0.5</v>
      </c>
      <c r="D52" s="2" t="n">
        <v>1</v>
      </c>
      <c r="E52" s="2" t="n">
        <v>3</v>
      </c>
      <c r="F52" s="2" t="n">
        <v>3</v>
      </c>
      <c r="G52" s="2"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104"/>
  <sheetViews>
    <sheetView workbookViewId="0">
      <selection activeCell="A1" sqref="A1"/>
    </sheetView>
  </sheetViews>
  <sheetFormatPr baseColWidth="8" defaultRowHeight="15"/>
  <sheetData>
    <row r="1">
      <c r="A1" s="1" t="inlineStr">
        <is>
          <t>% отгона</t>
        </is>
      </c>
      <c r="B1" s="1" t="inlineStr">
        <is>
          <t>T1</t>
        </is>
      </c>
      <c r="C1" s="1" t="inlineStr">
        <is>
          <t>T2</t>
        </is>
      </c>
      <c r="D1" s="1" t="inlineStr">
        <is>
          <t>Хср</t>
        </is>
      </c>
      <c r="E1" s="1" t="inlineStr">
        <is>
          <t>Поправка давления</t>
        </is>
      </c>
      <c r="F1" s="1" t="inlineStr">
        <is>
          <t>T_corr</t>
        </is>
      </c>
      <c r="G1" s="1" t="inlineStr">
        <is>
          <t>Восст. отгон</t>
        </is>
      </c>
      <c r="H1" s="1" t="inlineStr">
        <is>
          <t>Потери</t>
        </is>
      </c>
      <c r="I1" s="1" t="inlineStr">
        <is>
          <t>Выпаривание</t>
        </is>
      </c>
      <c r="J1" s="1" t="inlineStr">
        <is>
          <t>A</t>
        </is>
      </c>
      <c r="K1" s="1" t="inlineStr">
        <is>
          <t>B</t>
        </is>
      </c>
      <c r="L1" s="1" t="inlineStr">
        <is>
          <t>Lкор</t>
        </is>
      </c>
      <c r="M1" s="1" t="inlineStr">
        <is>
          <t>Отгонкор</t>
        </is>
      </c>
      <c r="N1" s="1" t="inlineStr">
        <is>
          <t>|T1-T2|</t>
        </is>
      </c>
      <c r="O1" s="1" t="inlineStr">
        <is>
          <t>r</t>
        </is>
      </c>
      <c r="P1" s="1" t="inlineStr">
        <is>
          <t>R</t>
        </is>
      </c>
      <c r="Q1" s="1" t="inlineStr">
        <is>
          <t>K (ГСО)</t>
        </is>
      </c>
      <c r="R1" s="1" t="inlineStr">
        <is>
          <t>0.84R (ОК)</t>
        </is>
      </c>
      <c r="S1" s="1" t="inlineStr">
        <is>
          <t>Крутизна S</t>
        </is>
      </c>
      <c r="T1" s="1" t="inlineStr">
        <is>
          <t>Режим</t>
        </is>
      </c>
      <c r="U1" s="1" t="inlineStr">
        <is>
          <t>Статус</t>
        </is>
      </c>
      <c r="V1" s="1" t="inlineStr">
        <is>
          <t>% выпаривания (Pe)</t>
        </is>
      </c>
      <c r="X1" s="9" t="inlineStr">
        <is>
          <t>ВЕТКА 1 — ЗАДАНЫ ОБЪЁМЫ (выпаривание): % отгона → T1/T2 → поправка давления → T_corr (приведена к 760). Ввод: T1/T2 и объёмы в «Ввод» (зелёные ячейки), Ввод!$G$1 = объём образца, мл.</t>
        </is>
      </c>
    </row>
    <row r="2">
      <c r="A2" s="2" t="n">
        <v>0</v>
      </c>
      <c r="B2" s="6">
        <f>Ввод!C4</f>
        <v/>
      </c>
      <c r="C2" s="6">
        <f>Ввод!D4</f>
        <v/>
      </c>
      <c r="D2" s="6">
        <f>IF(OR(ISBLANK(B2),ISBLANK(C2)),B2,MROUND((B2+C2)/2,0.5))</f>
        <v/>
      </c>
      <c r="E2" s="6">
        <f>IF(ISNUMBER(D2),0.0009*(101.3-Ввод!$B$1*0.133322)*(273+D2),"")</f>
        <v/>
      </c>
      <c r="F2" s="6">
        <f>IF(ISBLANK(D2),"",MROUND(D2+E2,0.5))</f>
        <v/>
      </c>
      <c r="G2" s="6" t="inlineStr">
        <is>
          <t>'Ввод'!B4+'Ввод'!F25</t>
        </is>
      </c>
      <c r="H2" s="6">
        <f>IF(ISNUMBER(G2),100-G2,"")</f>
        <v/>
      </c>
      <c r="I2" s="6">
        <f>IF(AND(ISNUMBER(G2),ISNUMBER(H2)),G2+H2,"")</f>
        <v/>
      </c>
      <c r="J2" s="6">
        <f>IF(AND(ISNUMBER(Ввод!$B$1),Ввод!$B$1&gt;=560,Ввод!$B$1&lt;=760),INDEX(Табл4!C$2:C$22,MATCH(Ввод!$B$1,Табл4!A$2:A$22,1)),"")</f>
        <v/>
      </c>
      <c r="K2" s="6">
        <f>IF(AND(ISNUMBER(Ввод!$B$1),Ввод!$B$1&gt;=560,Ввод!$B$1&lt;=760),INDEX(Табл4!D$2:D$22,MATCH(Ввод!$B$1,Табл4!A$2:A$22,1)),"")</f>
        <v/>
      </c>
      <c r="L2" s="6">
        <f>IF(AND(ISNUMBER(J2),ISNUMBER(K2),ISNUMBER(H2)),J2*H2+K2,"")</f>
        <v/>
      </c>
      <c r="M2" s="6">
        <f>IF(AND(ISNUMBER(G2),ISNUMBER(H2),ISNUMBER(L2)),G2+(H2-L2),"")</f>
        <v/>
      </c>
      <c r="N2" s="6">
        <f>IF(OR(ISBLANK(B2),ISBLANK(C2)),"",ABS(B2-C2))</f>
        <v/>
      </c>
      <c r="O2" s="6">
        <f>IF(ISBLANK(S2),"",INDEX(Номограмма!B$2:B$52,MATCH(MIN(S2,5),Номограмма!A$2:A$52,-1)))</f>
        <v/>
      </c>
      <c r="P2" s="6">
        <f>IF(ISBLANK(S2),"",INDEX(Номограмма!E$2:E$52,MATCH(MIN(S2,5),Номограмма!A$2:A$52,-1)))</f>
        <v/>
      </c>
      <c r="Q2" s="6">
        <f>IF(AND(ISNUMBER(P2),ISNUMBER(O2),P2^2-O2^2/2&gt;=0),(1/SQRT(2))*SQRT(P2^2-O2^2/2),"")</f>
        <v/>
      </c>
      <c r="R2" s="6">
        <f>IF(ISNUMBER(P2),0.84*P2,"")</f>
        <v/>
      </c>
      <c r="S2" s="6">
        <f>IF(OR(ISBLANK(F2),ISBLANK(F3)),"",ABS(F3-F2)/ABS(A3-A2))</f>
        <v/>
      </c>
      <c r="T2" s="6">
        <f>IF(AND(ISNUMBER(H2),ISNUMBER(Ввод!$E$1),Ввод!$E$1=1,H2&gt;=2),"по выпариванию (5.5.6)","по отгону")</f>
        <v/>
      </c>
      <c r="U2" s="6">
        <f>IF(OR(ISBLANK(B2),ISBLANK(C2)),"НЕ РАССЧИТАНО",IF(AND(ISNUMBER(N2),ISNUMBER(O2)),IF(N2&lt;=O2,"OK","НЕ СООТВЕТСТВУЕТ"),"НЕ РАССЧИТАНО"))</f>
        <v/>
      </c>
      <c r="V2" s="6">
        <f>IF(ISNUMBER(A2),IF(Ввод!$E$1=1,ROUND(A2+Ввод!E25,1),A2),"")</f>
        <v/>
      </c>
    </row>
    <row r="3">
      <c r="A3" s="2" t="n">
        <v>5</v>
      </c>
      <c r="B3" s="6">
        <f>Ввод!C5</f>
        <v/>
      </c>
      <c r="C3" s="6">
        <f>Ввод!D5</f>
        <v/>
      </c>
      <c r="D3" s="6">
        <f>IF(OR(ISBLANK(B3),ISBLANK(C3)),B3,MROUND((B3+C3)/2,0.5))</f>
        <v/>
      </c>
      <c r="E3" s="6">
        <f>IF(ISNUMBER(D3),0.0009*(101.3-Ввод!$B$1*0.133322)*(273+D3),"")</f>
        <v/>
      </c>
      <c r="F3" s="6">
        <f>IF(ISBLANK(D3),"",MROUND(D3+E3,0.5))</f>
        <v/>
      </c>
      <c r="G3" s="6" t="inlineStr">
        <is>
          <t>'Ввод'!B5+'Ввод'!F25</t>
        </is>
      </c>
      <c r="H3" s="6">
        <f>IF(ISNUMBER(G3),100-G3,"")</f>
        <v/>
      </c>
      <c r="I3" s="6">
        <f>IF(AND(ISNUMBER(G3),ISNUMBER(H3)),G3+H3,"")</f>
        <v/>
      </c>
      <c r="J3" s="6">
        <f>IF(AND(ISNUMBER(Ввод!$B$1),Ввод!$B$1&gt;=560,Ввод!$B$1&lt;=760),INDEX(Табл4!C$2:C$22,MATCH(Ввод!$B$1,Табл4!A$2:A$22,1)),"")</f>
        <v/>
      </c>
      <c r="K3" s="6">
        <f>IF(AND(ISNUMBER(Ввод!$B$1),Ввод!$B$1&gt;=560,Ввод!$B$1&lt;=760),INDEX(Табл4!D$2:D$22,MATCH(Ввод!$B$1,Табл4!A$2:A$22,1)),"")</f>
        <v/>
      </c>
      <c r="L3" s="6">
        <f>IF(AND(ISNUMBER(J3),ISNUMBER(K3),ISNUMBER(H3)),J3*H3+K3,"")</f>
        <v/>
      </c>
      <c r="M3" s="6">
        <f>IF(AND(ISNUMBER(G3),ISNUMBER(H3),ISNUMBER(L3)),G3+(H3-L3),"")</f>
        <v/>
      </c>
      <c r="N3" s="6">
        <f>IF(OR(ISBLANK(B3),ISBLANK(C3)),"",ABS(B3-C3))</f>
        <v/>
      </c>
      <c r="O3" s="6">
        <f>IF(ISBLANK(S3),"",INDEX(Номограмма!B$2:B$52,MATCH(MIN(S3,5),Номограмма!A$2:A$52,-1)))</f>
        <v/>
      </c>
      <c r="P3" s="6">
        <f>IF(ISBLANK(S3),"",INDEX(Номограмма!E$2:E$52,MATCH(MIN(S3,5),Номограмма!A$2:A$52,-1)))</f>
        <v/>
      </c>
      <c r="Q3" s="6">
        <f>IF(AND(ISNUMBER(P3),ISNUMBER(O3),P3^2-O3^2/2&gt;=0),(1/SQRT(2))*SQRT(P3^2-O3^2/2),"")</f>
        <v/>
      </c>
      <c r="R3" s="6">
        <f>IF(ISNUMBER(P3),0.84*P3,"")</f>
        <v/>
      </c>
      <c r="S3" s="6">
        <f>IF(OR(ISBLANK(F2),ISBLANK(F4)),"",ABS(F4-F2)/ABS(A4-A2))</f>
        <v/>
      </c>
      <c r="T3" s="6">
        <f>IF(AND(ISNUMBER(H3),ISNUMBER(Ввод!$E$1),Ввод!$E$1=1,H3&gt;=2),"по выпариванию (5.5.6)","по отгону")</f>
        <v/>
      </c>
      <c r="U3" s="6">
        <f>IF(OR(ISBLANK(B3),ISBLANK(C3)),"НЕ РАССЧИТАНО",IF(AND(ISNUMBER(N3),ISNUMBER(O3)),IF(N3&lt;=O3,"OK","НЕ СООТВЕТСТВУЕТ"),"НЕ РАССЧИТАНО"))</f>
        <v/>
      </c>
      <c r="V3" s="6">
        <f>IF(ISNUMBER(A3),IF(Ввод!$E$1=1,ROUND(A3+Ввод!E25,1),A3),"")</f>
        <v/>
      </c>
    </row>
    <row r="4">
      <c r="A4" s="2" t="n">
        <v>10</v>
      </c>
      <c r="B4" s="6">
        <f>Ввод!C6</f>
        <v/>
      </c>
      <c r="C4" s="6">
        <f>Ввод!D6</f>
        <v/>
      </c>
      <c r="D4" s="6">
        <f>IF(OR(ISBLANK(B4),ISBLANK(C4)),B4,MROUND((B4+C4)/2,0.5))</f>
        <v/>
      </c>
      <c r="E4" s="6">
        <f>IF(ISNUMBER(D4),0.0009*(101.3-Ввод!$B$1*0.133322)*(273+D4),"")</f>
        <v/>
      </c>
      <c r="F4" s="6">
        <f>IF(ISBLANK(D4),"",MROUND(D4+E4,0.5))</f>
        <v/>
      </c>
      <c r="G4" s="6" t="inlineStr">
        <is>
          <t>'Ввод'!B6+'Ввод'!F25</t>
        </is>
      </c>
      <c r="H4" s="6">
        <f>IF(ISNUMBER(G4),100-G4,"")</f>
        <v/>
      </c>
      <c r="I4" s="6">
        <f>IF(AND(ISNUMBER(G4),ISNUMBER(H4)),G4+H4,"")</f>
        <v/>
      </c>
      <c r="J4" s="6">
        <f>IF(AND(ISNUMBER(Ввод!$B$1),Ввод!$B$1&gt;=560,Ввод!$B$1&lt;=760),INDEX(Табл4!C$2:C$22,MATCH(Ввод!$B$1,Табл4!A$2:A$22,1)),"")</f>
        <v/>
      </c>
      <c r="K4" s="6">
        <f>IF(AND(ISNUMBER(Ввод!$B$1),Ввод!$B$1&gt;=560,Ввод!$B$1&lt;=760),INDEX(Табл4!D$2:D$22,MATCH(Ввод!$B$1,Табл4!A$2:A$22,1)),"")</f>
        <v/>
      </c>
      <c r="L4" s="6">
        <f>IF(AND(ISNUMBER(J4),ISNUMBER(K4),ISNUMBER(H4)),J4*H4+K4,"")</f>
        <v/>
      </c>
      <c r="M4" s="6">
        <f>IF(AND(ISNUMBER(G4),ISNUMBER(H4),ISNUMBER(L4)),G4+(H4-L4),"")</f>
        <v/>
      </c>
      <c r="N4" s="6">
        <f>IF(OR(ISBLANK(B4),ISBLANK(C4)),"",ABS(B4-C4))</f>
        <v/>
      </c>
      <c r="O4" s="6">
        <f>IF(ISBLANK(S4),"",INDEX(Номограмма!B$2:B$52,MATCH(MIN(S4,5),Номограмма!A$2:A$52,-1)))</f>
        <v/>
      </c>
      <c r="P4" s="6">
        <f>IF(ISBLANK(S4),"",INDEX(Номограмма!E$2:E$52,MATCH(MIN(S4,5),Номограмма!A$2:A$52,-1)))</f>
        <v/>
      </c>
      <c r="Q4" s="6">
        <f>IF(AND(ISNUMBER(P4),ISNUMBER(O4),P4^2-O4^2/2&gt;=0),(1/SQRT(2))*SQRT(P4^2-O4^2/2),"")</f>
        <v/>
      </c>
      <c r="R4" s="6">
        <f>IF(ISNUMBER(P4),0.84*P4,"")</f>
        <v/>
      </c>
      <c r="S4" s="6">
        <f>IF(OR(ISBLANK(F3),ISBLANK(F5)),"",ABS(F5-F3)/ABS(A5-A3))</f>
        <v/>
      </c>
      <c r="T4" s="6">
        <f>IF(AND(ISNUMBER(H4),ISNUMBER(Ввод!$E$1),Ввод!$E$1=1,H4&gt;=2),"по выпариванию (5.5.6)","по отгону")</f>
        <v/>
      </c>
      <c r="U4" s="6">
        <f>IF(OR(ISBLANK(B4),ISBLANK(C4)),"НЕ РАССЧИТАНО",IF(AND(ISNUMBER(N4),ISNUMBER(O4)),IF(N4&lt;=O4,"OK","НЕ СООТВЕТСТВУЕТ"),"НЕ РАССЧИТАНО"))</f>
        <v/>
      </c>
      <c r="V4" s="6">
        <f>IF(ISNUMBER(A4),IF(Ввод!$E$1=1,ROUND(A4+Ввод!E25,1),A4),"")</f>
        <v/>
      </c>
    </row>
    <row r="5">
      <c r="A5" s="2" t="n">
        <v>15</v>
      </c>
      <c r="B5" s="6">
        <f>Ввод!C7</f>
        <v/>
      </c>
      <c r="C5" s="6">
        <f>Ввод!D7</f>
        <v/>
      </c>
      <c r="D5" s="6">
        <f>IF(OR(ISBLANK(B5),ISBLANK(C5)),B5,MROUND((B5+C5)/2,0.5))</f>
        <v/>
      </c>
      <c r="E5" s="6">
        <f>IF(ISNUMBER(D5),0.0009*(101.3-Ввод!$B$1*0.133322)*(273+D5),"")</f>
        <v/>
      </c>
      <c r="F5" s="6">
        <f>IF(ISBLANK(D5),"",MROUND(D5+E5,0.5))</f>
        <v/>
      </c>
      <c r="G5" s="6" t="inlineStr">
        <is>
          <t>'Ввод'!B7+'Ввод'!F25</t>
        </is>
      </c>
      <c r="H5" s="6">
        <f>IF(ISNUMBER(G5),100-G5,"")</f>
        <v/>
      </c>
      <c r="I5" s="6">
        <f>IF(AND(ISNUMBER(G5),ISNUMBER(H5)),G5+H5,"")</f>
        <v/>
      </c>
      <c r="J5" s="6">
        <f>IF(AND(ISNUMBER(Ввод!$B$1),Ввод!$B$1&gt;=560,Ввод!$B$1&lt;=760),INDEX(Табл4!C$2:C$22,MATCH(Ввод!$B$1,Табл4!A$2:A$22,1)),"")</f>
        <v/>
      </c>
      <c r="K5" s="6">
        <f>IF(AND(ISNUMBER(Ввод!$B$1),Ввод!$B$1&gt;=560,Ввод!$B$1&lt;=760),INDEX(Табл4!D$2:D$22,MATCH(Ввод!$B$1,Табл4!A$2:A$22,1)),"")</f>
        <v/>
      </c>
      <c r="L5" s="6">
        <f>IF(AND(ISNUMBER(J5),ISNUMBER(K5),ISNUMBER(H5)),J5*H5+K5,"")</f>
        <v/>
      </c>
      <c r="M5" s="6">
        <f>IF(AND(ISNUMBER(G5),ISNUMBER(H5),ISNUMBER(L5)),G5+(H5-L5),"")</f>
        <v/>
      </c>
      <c r="N5" s="6">
        <f>IF(OR(ISBLANK(B5),ISBLANK(C5)),"",ABS(B5-C5))</f>
        <v/>
      </c>
      <c r="O5" s="6">
        <f>IF(ISBLANK(S5),"",INDEX(Номограмма!B$2:B$52,MATCH(MIN(S5,5),Номограмма!A$2:A$52,-1)))</f>
        <v/>
      </c>
      <c r="P5" s="6">
        <f>IF(ISBLANK(S5),"",INDEX(Номограмма!E$2:E$52,MATCH(MIN(S5,5),Номограмма!A$2:A$52,-1)))</f>
        <v/>
      </c>
      <c r="Q5" s="6">
        <f>IF(AND(ISNUMBER(P5),ISNUMBER(O5),P5^2-O5^2/2&gt;=0),(1/SQRT(2))*SQRT(P5^2-O5^2/2),"")</f>
        <v/>
      </c>
      <c r="R5" s="6">
        <f>IF(ISNUMBER(P5),0.84*P5,"")</f>
        <v/>
      </c>
      <c r="S5" s="6">
        <f>IF(OR(ISBLANK(F4),ISBLANK(F6)),"",ABS(F6-F4)/ABS(A6-A4))</f>
        <v/>
      </c>
      <c r="T5" s="6">
        <f>IF(AND(ISNUMBER(H5),ISNUMBER(Ввод!$E$1),Ввод!$E$1=1,H5&gt;=2),"по выпариванию (5.5.6)","по отгону")</f>
        <v/>
      </c>
      <c r="U5" s="6">
        <f>IF(OR(ISBLANK(B5),ISBLANK(C5)),"НЕ РАССЧИТАНО",IF(AND(ISNUMBER(N5),ISNUMBER(O5)),IF(N5&lt;=O5,"OK","НЕ СООТВЕТСТВУЕТ"),"НЕ РАССЧИТАНО"))</f>
        <v/>
      </c>
      <c r="V5" s="6">
        <f>IF(ISNUMBER(A5),IF(Ввод!$E$1=1,ROUND(A5+Ввод!E25,1),A5),"")</f>
        <v/>
      </c>
    </row>
    <row r="6">
      <c r="A6" s="2" t="n">
        <v>20</v>
      </c>
      <c r="B6" s="6">
        <f>Ввод!C8</f>
        <v/>
      </c>
      <c r="C6" s="6">
        <f>Ввод!D8</f>
        <v/>
      </c>
      <c r="D6" s="6">
        <f>IF(OR(ISBLANK(B6),ISBLANK(C6)),B6,MROUND((B6+C6)/2,0.5))</f>
        <v/>
      </c>
      <c r="E6" s="6">
        <f>IF(ISNUMBER(D6),0.0009*(101.3-Ввод!$B$1*0.133322)*(273+D6),"")</f>
        <v/>
      </c>
      <c r="F6" s="6">
        <f>IF(ISBLANK(D6),"",MROUND(D6+E6,0.5))</f>
        <v/>
      </c>
      <c r="G6" s="6" t="inlineStr">
        <is>
          <t>'Ввод'!B8+'Ввод'!F25</t>
        </is>
      </c>
      <c r="H6" s="6">
        <f>IF(ISNUMBER(G6),100-G6,"")</f>
        <v/>
      </c>
      <c r="I6" s="6">
        <f>IF(AND(ISNUMBER(G6),ISNUMBER(H6)),G6+H6,"")</f>
        <v/>
      </c>
      <c r="J6" s="6">
        <f>IF(AND(ISNUMBER(Ввод!$B$1),Ввод!$B$1&gt;=560,Ввод!$B$1&lt;=760),INDEX(Табл4!C$2:C$22,MATCH(Ввод!$B$1,Табл4!A$2:A$22,1)),"")</f>
        <v/>
      </c>
      <c r="K6" s="6">
        <f>IF(AND(ISNUMBER(Ввод!$B$1),Ввод!$B$1&gt;=560,Ввод!$B$1&lt;=760),INDEX(Табл4!D$2:D$22,MATCH(Ввод!$B$1,Табл4!A$2:A$22,1)),"")</f>
        <v/>
      </c>
      <c r="L6" s="6">
        <f>IF(AND(ISNUMBER(J6),ISNUMBER(K6),ISNUMBER(H6)),J6*H6+K6,"")</f>
        <v/>
      </c>
      <c r="M6" s="6">
        <f>IF(AND(ISNUMBER(G6),ISNUMBER(H6),ISNUMBER(L6)),G6+(H6-L6),"")</f>
        <v/>
      </c>
      <c r="N6" s="6">
        <f>IF(OR(ISBLANK(B6),ISBLANK(C6)),"",ABS(B6-C6))</f>
        <v/>
      </c>
      <c r="O6" s="6">
        <f>IF(ISBLANK(S6),"",INDEX(Номограмма!B$2:B$52,MATCH(MIN(S6,5),Номограмма!A$2:A$52,-1)))</f>
        <v/>
      </c>
      <c r="P6" s="6">
        <f>IF(ISBLANK(S6),"",INDEX(Номограмма!E$2:E$52,MATCH(MIN(S6,5),Номограмма!A$2:A$52,-1)))</f>
        <v/>
      </c>
      <c r="Q6" s="6">
        <f>IF(AND(ISNUMBER(P6),ISNUMBER(O6),P6^2-O6^2/2&gt;=0),(1/SQRT(2))*SQRT(P6^2-O6^2/2),"")</f>
        <v/>
      </c>
      <c r="R6" s="6">
        <f>IF(ISNUMBER(P6),0.84*P6,"")</f>
        <v/>
      </c>
      <c r="S6" s="6">
        <f>IF(OR(ISBLANK(F5),ISBLANK(F7)),"",ABS(F7-F5)/ABS(A7-A5))</f>
        <v/>
      </c>
      <c r="T6" s="6">
        <f>IF(AND(ISNUMBER(H6),ISNUMBER(Ввод!$E$1),Ввод!$E$1=1,H6&gt;=2),"по выпариванию (5.5.6)","по отгону")</f>
        <v/>
      </c>
      <c r="U6" s="6">
        <f>IF(OR(ISBLANK(B6),ISBLANK(C6)),"НЕ РАССЧИТАНО",IF(AND(ISNUMBER(N6),ISNUMBER(O6)),IF(N6&lt;=O6,"OK","НЕ СООТВЕТСТВУЕТ"),"НЕ РАССЧИТАНО"))</f>
        <v/>
      </c>
      <c r="V6" s="6">
        <f>IF(ISNUMBER(A6),IF(Ввод!$E$1=1,ROUND(A6+Ввод!E25,1),A6),"")</f>
        <v/>
      </c>
    </row>
    <row r="7">
      <c r="A7" s="2" t="n">
        <v>25</v>
      </c>
      <c r="B7" s="6">
        <f>Ввод!C9</f>
        <v/>
      </c>
      <c r="C7" s="6">
        <f>Ввод!D9</f>
        <v/>
      </c>
      <c r="D7" s="6">
        <f>IF(OR(ISBLANK(B7),ISBLANK(C7)),B7,MROUND((B7+C7)/2,0.5))</f>
        <v/>
      </c>
      <c r="E7" s="6">
        <f>IF(ISNUMBER(D7),0.0009*(101.3-Ввод!$B$1*0.133322)*(273+D7),"")</f>
        <v/>
      </c>
      <c r="F7" s="6">
        <f>IF(ISBLANK(D7),"",MROUND(D7+E7,0.5))</f>
        <v/>
      </c>
      <c r="G7" s="6" t="inlineStr">
        <is>
          <t>'Ввод'!B9+'Ввод'!F25</t>
        </is>
      </c>
      <c r="H7" s="6">
        <f>IF(ISNUMBER(G7),100-G7,"")</f>
        <v/>
      </c>
      <c r="I7" s="6">
        <f>IF(AND(ISNUMBER(G7),ISNUMBER(H7)),G7+H7,"")</f>
        <v/>
      </c>
      <c r="J7" s="6">
        <f>IF(AND(ISNUMBER(Ввод!$B$1),Ввод!$B$1&gt;=560,Ввод!$B$1&lt;=760),INDEX(Табл4!C$2:C$22,MATCH(Ввод!$B$1,Табл4!A$2:A$22,1)),"")</f>
        <v/>
      </c>
      <c r="K7" s="6">
        <f>IF(AND(ISNUMBER(Ввод!$B$1),Ввод!$B$1&gt;=560,Ввод!$B$1&lt;=760),INDEX(Табл4!D$2:D$22,MATCH(Ввод!$B$1,Табл4!A$2:A$22,1)),"")</f>
        <v/>
      </c>
      <c r="L7" s="6">
        <f>IF(AND(ISNUMBER(J7),ISNUMBER(K7),ISNUMBER(H7)),J7*H7+K7,"")</f>
        <v/>
      </c>
      <c r="M7" s="6">
        <f>IF(AND(ISNUMBER(G7),ISNUMBER(H7),ISNUMBER(L7)),G7+(H7-L7),"")</f>
        <v/>
      </c>
      <c r="N7" s="6">
        <f>IF(OR(ISBLANK(B7),ISBLANK(C7)),"",ABS(B7-C7))</f>
        <v/>
      </c>
      <c r="O7" s="6">
        <f>IF(ISBLANK(S7),"",INDEX(Номограмма!B$2:B$52,MATCH(MIN(S7,5),Номограмма!A$2:A$52,-1)))</f>
        <v/>
      </c>
      <c r="P7" s="6">
        <f>IF(ISBLANK(S7),"",INDEX(Номограмма!E$2:E$52,MATCH(MIN(S7,5),Номограмма!A$2:A$52,-1)))</f>
        <v/>
      </c>
      <c r="Q7" s="6">
        <f>IF(AND(ISNUMBER(P7),ISNUMBER(O7),P7^2-O7^2/2&gt;=0),(1/SQRT(2))*SQRT(P7^2-O7^2/2),"")</f>
        <v/>
      </c>
      <c r="R7" s="6">
        <f>IF(ISNUMBER(P7),0.84*P7,"")</f>
        <v/>
      </c>
      <c r="S7" s="6">
        <f>IF(OR(ISBLANK(F6),ISBLANK(F8)),"",ABS(F8-F6)/ABS(A8-A6))</f>
        <v/>
      </c>
      <c r="T7" s="6">
        <f>IF(AND(ISNUMBER(H7),ISNUMBER(Ввод!$E$1),Ввод!$E$1=1,H7&gt;=2),"по выпариванию (5.5.6)","по отгону")</f>
        <v/>
      </c>
      <c r="U7" s="6">
        <f>IF(OR(ISBLANK(B7),ISBLANK(C7)),"НЕ РАССЧИТАНО",IF(AND(ISNUMBER(N7),ISNUMBER(O7)),IF(N7&lt;=O7,"OK","НЕ СООТВЕТСТВУЕТ"),"НЕ РАССЧИТАНО"))</f>
        <v/>
      </c>
      <c r="V7" s="6">
        <f>IF(ISNUMBER(A7),IF(Ввод!$E$1=1,ROUND(A7+Ввод!E25,1),A7),"")</f>
        <v/>
      </c>
    </row>
    <row r="8">
      <c r="A8" s="2" t="n">
        <v>30</v>
      </c>
      <c r="B8" s="6">
        <f>Ввод!C10</f>
        <v/>
      </c>
      <c r="C8" s="6">
        <f>Ввод!D10</f>
        <v/>
      </c>
      <c r="D8" s="6">
        <f>IF(OR(ISBLANK(B8),ISBLANK(C8)),B8,MROUND((B8+C8)/2,0.5))</f>
        <v/>
      </c>
      <c r="E8" s="6">
        <f>IF(ISNUMBER(D8),0.0009*(101.3-Ввод!$B$1*0.133322)*(273+D8),"")</f>
        <v/>
      </c>
      <c r="F8" s="6">
        <f>IF(ISBLANK(D8),"",MROUND(D8+E8,0.5))</f>
        <v/>
      </c>
      <c r="G8" s="6" t="inlineStr">
        <is>
          <t>'Ввод'!B10+'Ввод'!F25</t>
        </is>
      </c>
      <c r="H8" s="6">
        <f>IF(ISNUMBER(G8),100-G8,"")</f>
        <v/>
      </c>
      <c r="I8" s="6">
        <f>IF(AND(ISNUMBER(G8),ISNUMBER(H8)),G8+H8,"")</f>
        <v/>
      </c>
      <c r="J8" s="6">
        <f>IF(AND(ISNUMBER(Ввод!$B$1),Ввод!$B$1&gt;=560,Ввод!$B$1&lt;=760),INDEX(Табл4!C$2:C$22,MATCH(Ввод!$B$1,Табл4!A$2:A$22,1)),"")</f>
        <v/>
      </c>
      <c r="K8" s="6">
        <f>IF(AND(ISNUMBER(Ввод!$B$1),Ввод!$B$1&gt;=560,Ввод!$B$1&lt;=760),INDEX(Табл4!D$2:D$22,MATCH(Ввод!$B$1,Табл4!A$2:A$22,1)),"")</f>
        <v/>
      </c>
      <c r="L8" s="6">
        <f>IF(AND(ISNUMBER(J8),ISNUMBER(K8),ISNUMBER(H8)),J8*H8+K8,"")</f>
        <v/>
      </c>
      <c r="M8" s="6">
        <f>IF(AND(ISNUMBER(G8),ISNUMBER(H8),ISNUMBER(L8)),G8+(H8-L8),"")</f>
        <v/>
      </c>
      <c r="N8" s="6">
        <f>IF(OR(ISBLANK(B8),ISBLANK(C8)),"",ABS(B8-C8))</f>
        <v/>
      </c>
      <c r="O8" s="6">
        <f>IF(ISBLANK(S8),"",INDEX(Номограмма!B$2:B$52,MATCH(MIN(S8,5),Номограмма!A$2:A$52,-1)))</f>
        <v/>
      </c>
      <c r="P8" s="6">
        <f>IF(ISBLANK(S8),"",INDEX(Номограмма!E$2:E$52,MATCH(MIN(S8,5),Номограмма!A$2:A$52,-1)))</f>
        <v/>
      </c>
      <c r="Q8" s="6">
        <f>IF(AND(ISNUMBER(P8),ISNUMBER(O8),P8^2-O8^2/2&gt;=0),(1/SQRT(2))*SQRT(P8^2-O8^2/2),"")</f>
        <v/>
      </c>
      <c r="R8" s="6">
        <f>IF(ISNUMBER(P8),0.84*P8,"")</f>
        <v/>
      </c>
      <c r="S8" s="6">
        <f>IF(OR(ISBLANK(F7),ISBLANK(F9)),"",ABS(F9-F7)/ABS(A9-A7))</f>
        <v/>
      </c>
      <c r="T8" s="6">
        <f>IF(AND(ISNUMBER(H8),ISNUMBER(Ввод!$E$1),Ввод!$E$1=1,H8&gt;=2),"по выпариванию (5.5.6)","по отгону")</f>
        <v/>
      </c>
      <c r="U8" s="6">
        <f>IF(OR(ISBLANK(B8),ISBLANK(C8)),"НЕ РАССЧИТАНО",IF(AND(ISNUMBER(N8),ISNUMBER(O8)),IF(N8&lt;=O8,"OK","НЕ СООТВЕТСТВУЕТ"),"НЕ РАССЧИТАНО"))</f>
        <v/>
      </c>
      <c r="V8" s="6">
        <f>IF(ISNUMBER(A8),IF(Ввод!$E$1=1,ROUND(A8+Ввод!E25,1),A8),"")</f>
        <v/>
      </c>
    </row>
    <row r="9">
      <c r="A9" s="2" t="n">
        <v>35</v>
      </c>
      <c r="B9" s="6">
        <f>Ввод!C11</f>
        <v/>
      </c>
      <c r="C9" s="6">
        <f>Ввод!D11</f>
        <v/>
      </c>
      <c r="D9" s="6">
        <f>IF(OR(ISBLANK(B9),ISBLANK(C9)),B9,MROUND((B9+C9)/2,0.5))</f>
        <v/>
      </c>
      <c r="E9" s="6">
        <f>IF(ISNUMBER(D9),0.0009*(101.3-Ввод!$B$1*0.133322)*(273+D9),"")</f>
        <v/>
      </c>
      <c r="F9" s="6">
        <f>IF(ISBLANK(D9),"",MROUND(D9+E9,0.5))</f>
        <v/>
      </c>
      <c r="G9" s="6" t="inlineStr">
        <is>
          <t>'Ввод'!B11+'Ввод'!F25</t>
        </is>
      </c>
      <c r="H9" s="6">
        <f>IF(ISNUMBER(G9),100-G9,"")</f>
        <v/>
      </c>
      <c r="I9" s="6">
        <f>IF(AND(ISNUMBER(G9),ISNUMBER(H9)),G9+H9,"")</f>
        <v/>
      </c>
      <c r="J9" s="6">
        <f>IF(AND(ISNUMBER(Ввод!$B$1),Ввод!$B$1&gt;=560,Ввод!$B$1&lt;=760),INDEX(Табл4!C$2:C$22,MATCH(Ввод!$B$1,Табл4!A$2:A$22,1)),"")</f>
        <v/>
      </c>
      <c r="K9" s="6">
        <f>IF(AND(ISNUMBER(Ввод!$B$1),Ввод!$B$1&gt;=560,Ввод!$B$1&lt;=760),INDEX(Табл4!D$2:D$22,MATCH(Ввод!$B$1,Табл4!A$2:A$22,1)),"")</f>
        <v/>
      </c>
      <c r="L9" s="6">
        <f>IF(AND(ISNUMBER(J9),ISNUMBER(K9),ISNUMBER(H9)),J9*H9+K9,"")</f>
        <v/>
      </c>
      <c r="M9" s="6">
        <f>IF(AND(ISNUMBER(G9),ISNUMBER(H9),ISNUMBER(L9)),G9+(H9-L9),"")</f>
        <v/>
      </c>
      <c r="N9" s="6">
        <f>IF(OR(ISBLANK(B9),ISBLANK(C9)),"",ABS(B9-C9))</f>
        <v/>
      </c>
      <c r="O9" s="6">
        <f>IF(ISBLANK(S9),"",INDEX(Номограмма!B$2:B$52,MATCH(MIN(S9,5),Номограмма!A$2:A$52,-1)))</f>
        <v/>
      </c>
      <c r="P9" s="6">
        <f>IF(ISBLANK(S9),"",INDEX(Номограмма!E$2:E$52,MATCH(MIN(S9,5),Номограмма!A$2:A$52,-1)))</f>
        <v/>
      </c>
      <c r="Q9" s="6">
        <f>IF(AND(ISNUMBER(P9),ISNUMBER(O9),P9^2-O9^2/2&gt;=0),(1/SQRT(2))*SQRT(P9^2-O9^2/2),"")</f>
        <v/>
      </c>
      <c r="R9" s="6">
        <f>IF(ISNUMBER(P9),0.84*P9,"")</f>
        <v/>
      </c>
      <c r="S9" s="6">
        <f>IF(OR(ISBLANK(F8),ISBLANK(F10)),"",ABS(F10-F8)/ABS(A10-A8))</f>
        <v/>
      </c>
      <c r="T9" s="6">
        <f>IF(AND(ISNUMBER(H9),ISNUMBER(Ввод!$E$1),Ввод!$E$1=1,H9&gt;=2),"по выпариванию (5.5.6)","по отгону")</f>
        <v/>
      </c>
      <c r="U9" s="6">
        <f>IF(OR(ISBLANK(B9),ISBLANK(C9)),"НЕ РАССЧИТАНО",IF(AND(ISNUMBER(N9),ISNUMBER(O9)),IF(N9&lt;=O9,"OK","НЕ СООТВЕТСТВУЕТ"),"НЕ РАССЧИТАНО"))</f>
        <v/>
      </c>
      <c r="V9" s="6">
        <f>IF(ISNUMBER(A9),IF(Ввод!$E$1=1,ROUND(A9+Ввод!E25,1),A9),"")</f>
        <v/>
      </c>
    </row>
    <row r="10">
      <c r="A10" s="2" t="n">
        <v>40</v>
      </c>
      <c r="B10" s="6">
        <f>Ввод!C12</f>
        <v/>
      </c>
      <c r="C10" s="6">
        <f>Ввод!D12</f>
        <v/>
      </c>
      <c r="D10" s="6">
        <f>IF(OR(ISBLANK(B10),ISBLANK(C10)),B10,MROUND((B10+C10)/2,0.5))</f>
        <v/>
      </c>
      <c r="E10" s="6">
        <f>IF(ISNUMBER(D10),0.0009*(101.3-Ввод!$B$1*0.133322)*(273+D10),"")</f>
        <v/>
      </c>
      <c r="F10" s="6">
        <f>IF(ISBLANK(D10),"",MROUND(D10+E10,0.5))</f>
        <v/>
      </c>
      <c r="G10" s="6" t="inlineStr">
        <is>
          <t>'Ввод'!B12+'Ввод'!F25</t>
        </is>
      </c>
      <c r="H10" s="6">
        <f>IF(ISNUMBER(G10),100-G10,"")</f>
        <v/>
      </c>
      <c r="I10" s="6">
        <f>IF(AND(ISNUMBER(G10),ISNUMBER(H10)),G10+H10,"")</f>
        <v/>
      </c>
      <c r="J10" s="6">
        <f>IF(AND(ISNUMBER(Ввод!$B$1),Ввод!$B$1&gt;=560,Ввод!$B$1&lt;=760),INDEX(Табл4!C$2:C$22,MATCH(Ввод!$B$1,Табл4!A$2:A$22,1)),"")</f>
        <v/>
      </c>
      <c r="K10" s="6">
        <f>IF(AND(ISNUMBER(Ввод!$B$1),Ввод!$B$1&gt;=560,Ввод!$B$1&lt;=760),INDEX(Табл4!D$2:D$22,MATCH(Ввод!$B$1,Табл4!A$2:A$22,1)),"")</f>
        <v/>
      </c>
      <c r="L10" s="6">
        <f>IF(AND(ISNUMBER(J10),ISNUMBER(K10),ISNUMBER(H10)),J10*H10+K10,"")</f>
        <v/>
      </c>
      <c r="M10" s="6">
        <f>IF(AND(ISNUMBER(G10),ISNUMBER(H10),ISNUMBER(L10)),G10+(H10-L10),"")</f>
        <v/>
      </c>
      <c r="N10" s="6">
        <f>IF(OR(ISBLANK(B10),ISBLANK(C10)),"",ABS(B10-C10))</f>
        <v/>
      </c>
      <c r="O10" s="6">
        <f>IF(ISBLANK(S10),"",INDEX(Номограмма!B$2:B$52,MATCH(MIN(S10,5),Номограмма!A$2:A$52,-1)))</f>
        <v/>
      </c>
      <c r="P10" s="6">
        <f>IF(ISBLANK(S10),"",INDEX(Номограмма!E$2:E$52,MATCH(MIN(S10,5),Номограмма!A$2:A$52,-1)))</f>
        <v/>
      </c>
      <c r="Q10" s="6">
        <f>IF(AND(ISNUMBER(P10),ISNUMBER(O10),P10^2-O10^2/2&gt;=0),(1/SQRT(2))*SQRT(P10^2-O10^2/2),"")</f>
        <v/>
      </c>
      <c r="R10" s="6">
        <f>IF(ISNUMBER(P10),0.84*P10,"")</f>
        <v/>
      </c>
      <c r="S10" s="6">
        <f>IF(OR(ISBLANK(F9),ISBLANK(F11)),"",ABS(F11-F9)/ABS(A11-A9))</f>
        <v/>
      </c>
      <c r="T10" s="6">
        <f>IF(AND(ISNUMBER(H10),ISNUMBER(Ввод!$E$1),Ввод!$E$1=1,H10&gt;=2),"по выпариванию (5.5.6)","по отгону")</f>
        <v/>
      </c>
      <c r="U10" s="6">
        <f>IF(OR(ISBLANK(B10),ISBLANK(C10)),"НЕ РАССЧИТАНО",IF(AND(ISNUMBER(N10),ISNUMBER(O10)),IF(N10&lt;=O10,"OK","НЕ СООТВЕТСТВУЕТ"),"НЕ РАССЧИТАНО"))</f>
        <v/>
      </c>
      <c r="V10" s="6">
        <f>IF(ISNUMBER(A10),IF(Ввод!$E$1=1,ROUND(A10+Ввод!E25,1),A10),"")</f>
        <v/>
      </c>
    </row>
    <row r="11">
      <c r="A11" s="2" t="n">
        <v>45</v>
      </c>
      <c r="B11" s="6">
        <f>Ввод!C13</f>
        <v/>
      </c>
      <c r="C11" s="6">
        <f>Ввод!D13</f>
        <v/>
      </c>
      <c r="D11" s="6">
        <f>IF(OR(ISBLANK(B11),ISBLANK(C11)),B11,MROUND((B11+C11)/2,0.5))</f>
        <v/>
      </c>
      <c r="E11" s="6">
        <f>IF(ISNUMBER(D11),0.0009*(101.3-Ввод!$B$1*0.133322)*(273+D11),"")</f>
        <v/>
      </c>
      <c r="F11" s="6">
        <f>IF(ISBLANK(D11),"",MROUND(D11+E11,0.5))</f>
        <v/>
      </c>
      <c r="G11" s="6" t="inlineStr">
        <is>
          <t>'Ввод'!B13+'Ввод'!F25</t>
        </is>
      </c>
      <c r="H11" s="6">
        <f>IF(ISNUMBER(G11),100-G11,"")</f>
        <v/>
      </c>
      <c r="I11" s="6">
        <f>IF(AND(ISNUMBER(G11),ISNUMBER(H11)),G11+H11,"")</f>
        <v/>
      </c>
      <c r="J11" s="6">
        <f>IF(AND(ISNUMBER(Ввод!$B$1),Ввод!$B$1&gt;=560,Ввод!$B$1&lt;=760),INDEX(Табл4!C$2:C$22,MATCH(Ввод!$B$1,Табл4!A$2:A$22,1)),"")</f>
        <v/>
      </c>
      <c r="K11" s="6">
        <f>IF(AND(ISNUMBER(Ввод!$B$1),Ввод!$B$1&gt;=560,Ввод!$B$1&lt;=760),INDEX(Табл4!D$2:D$22,MATCH(Ввод!$B$1,Табл4!A$2:A$22,1)),"")</f>
        <v/>
      </c>
      <c r="L11" s="6">
        <f>IF(AND(ISNUMBER(J11),ISNUMBER(K11),ISNUMBER(H11)),J11*H11+K11,"")</f>
        <v/>
      </c>
      <c r="M11" s="6">
        <f>IF(AND(ISNUMBER(G11),ISNUMBER(H11),ISNUMBER(L11)),G11+(H11-L11),"")</f>
        <v/>
      </c>
      <c r="N11" s="6">
        <f>IF(OR(ISBLANK(B11),ISBLANK(C11)),"",ABS(B11-C11))</f>
        <v/>
      </c>
      <c r="O11" s="6">
        <f>IF(ISBLANK(S11),"",INDEX(Номограмма!B$2:B$52,MATCH(MIN(S11,5),Номограмма!A$2:A$52,-1)))</f>
        <v/>
      </c>
      <c r="P11" s="6">
        <f>IF(ISBLANK(S11),"",INDEX(Номограмма!E$2:E$52,MATCH(MIN(S11,5),Номограмма!A$2:A$52,-1)))</f>
        <v/>
      </c>
      <c r="Q11" s="6">
        <f>IF(AND(ISNUMBER(P11),ISNUMBER(O11),P11^2-O11^2/2&gt;=0),(1/SQRT(2))*SQRT(P11^2-O11^2/2),"")</f>
        <v/>
      </c>
      <c r="R11" s="6">
        <f>IF(ISNUMBER(P11),0.84*P11,"")</f>
        <v/>
      </c>
      <c r="S11" s="6">
        <f>IF(OR(ISBLANK(F10),ISBLANK(F12)),"",ABS(F12-F10)/ABS(A12-A10))</f>
        <v/>
      </c>
      <c r="T11" s="6">
        <f>IF(AND(ISNUMBER(H11),ISNUMBER(Ввод!$E$1),Ввод!$E$1=1,H11&gt;=2),"по выпариванию (5.5.6)","по отгону")</f>
        <v/>
      </c>
      <c r="U11" s="6">
        <f>IF(OR(ISBLANK(B11),ISBLANK(C11)),"НЕ РАССЧИТАНО",IF(AND(ISNUMBER(N11),ISNUMBER(O11)),IF(N11&lt;=O11,"OK","НЕ СООТВЕТСТВУЕТ"),"НЕ РАССЧИТАНО"))</f>
        <v/>
      </c>
      <c r="V11" s="6">
        <f>IF(ISNUMBER(A11),IF(Ввод!$E$1=1,ROUND(A11+Ввод!E25,1),A11),"")</f>
        <v/>
      </c>
    </row>
    <row r="12">
      <c r="A12" s="2" t="n">
        <v>50</v>
      </c>
      <c r="B12" s="6">
        <f>Ввод!C14</f>
        <v/>
      </c>
      <c r="C12" s="6">
        <f>Ввод!D14</f>
        <v/>
      </c>
      <c r="D12" s="6">
        <f>IF(OR(ISBLANK(B12),ISBLANK(C12)),B12,MROUND((B12+C12)/2,0.5))</f>
        <v/>
      </c>
      <c r="E12" s="6">
        <f>IF(ISNUMBER(D12),0.0009*(101.3-Ввод!$B$1*0.133322)*(273+D12),"")</f>
        <v/>
      </c>
      <c r="F12" s="6">
        <f>IF(ISBLANK(D12),"",MROUND(D12+E12,0.5))</f>
        <v/>
      </c>
      <c r="G12" s="6" t="inlineStr">
        <is>
          <t>'Ввод'!B14+'Ввод'!F25</t>
        </is>
      </c>
      <c r="H12" s="6">
        <f>IF(ISNUMBER(G12),100-G12,"")</f>
        <v/>
      </c>
      <c r="I12" s="6">
        <f>IF(AND(ISNUMBER(G12),ISNUMBER(H12)),G12+H12,"")</f>
        <v/>
      </c>
      <c r="J12" s="6">
        <f>IF(AND(ISNUMBER(Ввод!$B$1),Ввод!$B$1&gt;=560,Ввод!$B$1&lt;=760),INDEX(Табл4!C$2:C$22,MATCH(Ввод!$B$1,Табл4!A$2:A$22,1)),"")</f>
        <v/>
      </c>
      <c r="K12" s="6">
        <f>IF(AND(ISNUMBER(Ввод!$B$1),Ввод!$B$1&gt;=560,Ввод!$B$1&lt;=760),INDEX(Табл4!D$2:D$22,MATCH(Ввод!$B$1,Табл4!A$2:A$22,1)),"")</f>
        <v/>
      </c>
      <c r="L12" s="6">
        <f>IF(AND(ISNUMBER(J12),ISNUMBER(K12),ISNUMBER(H12)),J12*H12+K12,"")</f>
        <v/>
      </c>
      <c r="M12" s="6">
        <f>IF(AND(ISNUMBER(G12),ISNUMBER(H12),ISNUMBER(L12)),G12+(H12-L12),"")</f>
        <v/>
      </c>
      <c r="N12" s="6">
        <f>IF(OR(ISBLANK(B12),ISBLANK(C12)),"",ABS(B12-C12))</f>
        <v/>
      </c>
      <c r="O12" s="6">
        <f>IF(ISBLANK(S12),"",INDEX(Номограмма!B$2:B$52,MATCH(MIN(S12,5),Номограмма!A$2:A$52,-1)))</f>
        <v/>
      </c>
      <c r="P12" s="6">
        <f>IF(ISBLANK(S12),"",INDEX(Номограмма!E$2:E$52,MATCH(MIN(S12,5),Номограмма!A$2:A$52,-1)))</f>
        <v/>
      </c>
      <c r="Q12" s="6">
        <f>IF(AND(ISNUMBER(P12),ISNUMBER(O12),P12^2-O12^2/2&gt;=0),(1/SQRT(2))*SQRT(P12^2-O12^2/2),"")</f>
        <v/>
      </c>
      <c r="R12" s="6">
        <f>IF(ISNUMBER(P12),0.84*P12,"")</f>
        <v/>
      </c>
      <c r="S12" s="6">
        <f>IF(OR(ISBLANK(F11),ISBLANK(F13)),"",ABS(F13-F11)/ABS(A13-A11))</f>
        <v/>
      </c>
      <c r="T12" s="6">
        <f>IF(AND(ISNUMBER(H12),ISNUMBER(Ввод!$E$1),Ввод!$E$1=1,H12&gt;=2),"по выпариванию (5.5.6)","по отгону")</f>
        <v/>
      </c>
      <c r="U12" s="6">
        <f>IF(OR(ISBLANK(B12),ISBLANK(C12)),"НЕ РАССЧИТАНО",IF(AND(ISNUMBER(N12),ISNUMBER(O12)),IF(N12&lt;=O12,"OK","НЕ СООТВЕТСТВУЕТ"),"НЕ РАССЧИТАНО"))</f>
        <v/>
      </c>
      <c r="V12" s="6">
        <f>IF(ISNUMBER(A12),IF(Ввод!$E$1=1,ROUND(A12+Ввод!E25,1),A12),"")</f>
        <v/>
      </c>
    </row>
    <row r="13">
      <c r="A13" s="2" t="n">
        <v>55</v>
      </c>
      <c r="B13" s="6">
        <f>Ввод!C15</f>
        <v/>
      </c>
      <c r="C13" s="6">
        <f>Ввод!D15</f>
        <v/>
      </c>
      <c r="D13" s="6">
        <f>IF(OR(ISBLANK(B13),ISBLANK(C13)),B13,MROUND((B13+C13)/2,0.5))</f>
        <v/>
      </c>
      <c r="E13" s="6">
        <f>IF(ISNUMBER(D13),0.0009*(101.3-Ввод!$B$1*0.133322)*(273+D13),"")</f>
        <v/>
      </c>
      <c r="F13" s="6">
        <f>IF(ISBLANK(D13),"",MROUND(D13+E13,0.5))</f>
        <v/>
      </c>
      <c r="G13" s="6" t="inlineStr">
        <is>
          <t>'Ввод'!B15+'Ввод'!F25</t>
        </is>
      </c>
      <c r="H13" s="6">
        <f>IF(ISNUMBER(G13),100-G13,"")</f>
        <v/>
      </c>
      <c r="I13" s="6">
        <f>IF(AND(ISNUMBER(G13),ISNUMBER(H13)),G13+H13,"")</f>
        <v/>
      </c>
      <c r="J13" s="6">
        <f>IF(AND(ISNUMBER(Ввод!$B$1),Ввод!$B$1&gt;=560,Ввод!$B$1&lt;=760),INDEX(Табл4!C$2:C$22,MATCH(Ввод!$B$1,Табл4!A$2:A$22,1)),"")</f>
        <v/>
      </c>
      <c r="K13" s="6">
        <f>IF(AND(ISNUMBER(Ввод!$B$1),Ввод!$B$1&gt;=560,Ввод!$B$1&lt;=760),INDEX(Табл4!D$2:D$22,MATCH(Ввод!$B$1,Табл4!A$2:A$22,1)),"")</f>
        <v/>
      </c>
      <c r="L13" s="6">
        <f>IF(AND(ISNUMBER(J13),ISNUMBER(K13),ISNUMBER(H13)),J13*H13+K13,"")</f>
        <v/>
      </c>
      <c r="M13" s="6">
        <f>IF(AND(ISNUMBER(G13),ISNUMBER(H13),ISNUMBER(L13)),G13+(H13-L13),"")</f>
        <v/>
      </c>
      <c r="N13" s="6">
        <f>IF(OR(ISBLANK(B13),ISBLANK(C13)),"",ABS(B13-C13))</f>
        <v/>
      </c>
      <c r="O13" s="6">
        <f>IF(ISBLANK(S13),"",INDEX(Номограмма!B$2:B$52,MATCH(MIN(S13,5),Номограмма!A$2:A$52,-1)))</f>
        <v/>
      </c>
      <c r="P13" s="6">
        <f>IF(ISBLANK(S13),"",INDEX(Номограмма!E$2:E$52,MATCH(MIN(S13,5),Номограмма!A$2:A$52,-1)))</f>
        <v/>
      </c>
      <c r="Q13" s="6">
        <f>IF(AND(ISNUMBER(P13),ISNUMBER(O13),P13^2-O13^2/2&gt;=0),(1/SQRT(2))*SQRT(P13^2-O13^2/2),"")</f>
        <v/>
      </c>
      <c r="R13" s="6">
        <f>IF(ISNUMBER(P13),0.84*P13,"")</f>
        <v/>
      </c>
      <c r="S13" s="6">
        <f>IF(OR(ISBLANK(F12),ISBLANK(F14)),"",ABS(F14-F12)/ABS(A14-A12))</f>
        <v/>
      </c>
      <c r="T13" s="6">
        <f>IF(AND(ISNUMBER(H13),ISNUMBER(Ввод!$E$1),Ввод!$E$1=1,H13&gt;=2),"по выпариванию (5.5.6)","по отгону")</f>
        <v/>
      </c>
      <c r="U13" s="6">
        <f>IF(OR(ISBLANK(B13),ISBLANK(C13)),"НЕ РАССЧИТАНО",IF(AND(ISNUMBER(N13),ISNUMBER(O13)),IF(N13&lt;=O13,"OK","НЕ СООТВЕТСТВУЕТ"),"НЕ РАССЧИТАНО"))</f>
        <v/>
      </c>
      <c r="V13" s="6">
        <f>IF(ISNUMBER(A13),IF(Ввод!$E$1=1,ROUND(A13+Ввод!E25,1),A13),"")</f>
        <v/>
      </c>
    </row>
    <row r="14">
      <c r="A14" s="2" t="n">
        <v>60</v>
      </c>
      <c r="B14" s="6">
        <f>Ввод!C16</f>
        <v/>
      </c>
      <c r="C14" s="6">
        <f>Ввод!D16</f>
        <v/>
      </c>
      <c r="D14" s="6">
        <f>IF(OR(ISBLANK(B14),ISBLANK(C14)),B14,MROUND((B14+C14)/2,0.5))</f>
        <v/>
      </c>
      <c r="E14" s="6">
        <f>IF(ISNUMBER(D14),0.0009*(101.3-Ввод!$B$1*0.133322)*(273+D14),"")</f>
        <v/>
      </c>
      <c r="F14" s="6">
        <f>IF(ISBLANK(D14),"",MROUND(D14+E14,0.5))</f>
        <v/>
      </c>
      <c r="G14" s="6" t="inlineStr">
        <is>
          <t>'Ввод'!B16+'Ввод'!F25</t>
        </is>
      </c>
      <c r="H14" s="6">
        <f>IF(ISNUMBER(G14),100-G14,"")</f>
        <v/>
      </c>
      <c r="I14" s="6">
        <f>IF(AND(ISNUMBER(G14),ISNUMBER(H14)),G14+H14,"")</f>
        <v/>
      </c>
      <c r="J14" s="6">
        <f>IF(AND(ISNUMBER(Ввод!$B$1),Ввод!$B$1&gt;=560,Ввод!$B$1&lt;=760),INDEX(Табл4!C$2:C$22,MATCH(Ввод!$B$1,Табл4!A$2:A$22,1)),"")</f>
        <v/>
      </c>
      <c r="K14" s="6">
        <f>IF(AND(ISNUMBER(Ввод!$B$1),Ввод!$B$1&gt;=560,Ввод!$B$1&lt;=760),INDEX(Табл4!D$2:D$22,MATCH(Ввод!$B$1,Табл4!A$2:A$22,1)),"")</f>
        <v/>
      </c>
      <c r="L14" s="6">
        <f>IF(AND(ISNUMBER(J14),ISNUMBER(K14),ISNUMBER(H14)),J14*H14+K14,"")</f>
        <v/>
      </c>
      <c r="M14" s="6">
        <f>IF(AND(ISNUMBER(G14),ISNUMBER(H14),ISNUMBER(L14)),G14+(H14-L14),"")</f>
        <v/>
      </c>
      <c r="N14" s="6">
        <f>IF(OR(ISBLANK(B14),ISBLANK(C14)),"",ABS(B14-C14))</f>
        <v/>
      </c>
      <c r="O14" s="6">
        <f>IF(ISBLANK(S14),"",INDEX(Номограмма!B$2:B$52,MATCH(MIN(S14,5),Номограмма!A$2:A$52,-1)))</f>
        <v/>
      </c>
      <c r="P14" s="6">
        <f>IF(ISBLANK(S14),"",INDEX(Номограмма!E$2:E$52,MATCH(MIN(S14,5),Номограмма!A$2:A$52,-1)))</f>
        <v/>
      </c>
      <c r="Q14" s="6">
        <f>IF(AND(ISNUMBER(P14),ISNUMBER(O14),P14^2-O14^2/2&gt;=0),(1/SQRT(2))*SQRT(P14^2-O14^2/2),"")</f>
        <v/>
      </c>
      <c r="R14" s="6">
        <f>IF(ISNUMBER(P14),0.84*P14,"")</f>
        <v/>
      </c>
      <c r="S14" s="6">
        <f>IF(OR(ISBLANK(F13),ISBLANK(F15)),"",ABS(F15-F13)/ABS(A15-A13))</f>
        <v/>
      </c>
      <c r="T14" s="6">
        <f>IF(AND(ISNUMBER(H14),ISNUMBER(Ввод!$E$1),Ввод!$E$1=1,H14&gt;=2),"по выпариванию (5.5.6)","по отгону")</f>
        <v/>
      </c>
      <c r="U14" s="6">
        <f>IF(OR(ISBLANK(B14),ISBLANK(C14)),"НЕ РАССЧИТАНО",IF(AND(ISNUMBER(N14),ISNUMBER(O14)),IF(N14&lt;=O14,"OK","НЕ СООТВЕТСТВУЕТ"),"НЕ РАССЧИТАНО"))</f>
        <v/>
      </c>
      <c r="V14" s="6">
        <f>IF(ISNUMBER(A14),IF(Ввод!$E$1=1,ROUND(A14+Ввод!E25,1),A14),"")</f>
        <v/>
      </c>
    </row>
    <row r="15">
      <c r="A15" s="2" t="n">
        <v>65</v>
      </c>
      <c r="B15" s="6">
        <f>Ввод!C17</f>
        <v/>
      </c>
      <c r="C15" s="6">
        <f>Ввод!D17</f>
        <v/>
      </c>
      <c r="D15" s="6">
        <f>IF(OR(ISBLANK(B15),ISBLANK(C15)),B15,MROUND((B15+C15)/2,0.5))</f>
        <v/>
      </c>
      <c r="E15" s="6">
        <f>IF(ISNUMBER(D15),0.0009*(101.3-Ввод!$B$1*0.133322)*(273+D15),"")</f>
        <v/>
      </c>
      <c r="F15" s="6">
        <f>IF(ISBLANK(D15),"",MROUND(D15+E15,0.5))</f>
        <v/>
      </c>
      <c r="G15" s="6" t="inlineStr">
        <is>
          <t>'Ввод'!B17+'Ввод'!F25</t>
        </is>
      </c>
      <c r="H15" s="6">
        <f>IF(ISNUMBER(G15),100-G15,"")</f>
        <v/>
      </c>
      <c r="I15" s="6">
        <f>IF(AND(ISNUMBER(G15),ISNUMBER(H15)),G15+H15,"")</f>
        <v/>
      </c>
      <c r="J15" s="6">
        <f>IF(AND(ISNUMBER(Ввод!$B$1),Ввод!$B$1&gt;=560,Ввод!$B$1&lt;=760),INDEX(Табл4!C$2:C$22,MATCH(Ввод!$B$1,Табл4!A$2:A$22,1)),"")</f>
        <v/>
      </c>
      <c r="K15" s="6">
        <f>IF(AND(ISNUMBER(Ввод!$B$1),Ввод!$B$1&gt;=560,Ввод!$B$1&lt;=760),INDEX(Табл4!D$2:D$22,MATCH(Ввод!$B$1,Табл4!A$2:A$22,1)),"")</f>
        <v/>
      </c>
      <c r="L15" s="6">
        <f>IF(AND(ISNUMBER(J15),ISNUMBER(K15),ISNUMBER(H15)),J15*H15+K15,"")</f>
        <v/>
      </c>
      <c r="M15" s="6">
        <f>IF(AND(ISNUMBER(G15),ISNUMBER(H15),ISNUMBER(L15)),G15+(H15-L15),"")</f>
        <v/>
      </c>
      <c r="N15" s="6">
        <f>IF(OR(ISBLANK(B15),ISBLANK(C15)),"",ABS(B15-C15))</f>
        <v/>
      </c>
      <c r="O15" s="6">
        <f>IF(ISBLANK(S15),"",INDEX(Номограмма!B$2:B$52,MATCH(MIN(S15,5),Номограмма!A$2:A$52,-1)))</f>
        <v/>
      </c>
      <c r="P15" s="6">
        <f>IF(ISBLANK(S15),"",INDEX(Номограмма!E$2:E$52,MATCH(MIN(S15,5),Номограмма!A$2:A$52,-1)))</f>
        <v/>
      </c>
      <c r="Q15" s="6">
        <f>IF(AND(ISNUMBER(P15),ISNUMBER(O15),P15^2-O15^2/2&gt;=0),(1/SQRT(2))*SQRT(P15^2-O15^2/2),"")</f>
        <v/>
      </c>
      <c r="R15" s="6">
        <f>IF(ISNUMBER(P15),0.84*P15,"")</f>
        <v/>
      </c>
      <c r="S15" s="6">
        <f>IF(OR(ISBLANK(F14),ISBLANK(F16)),"",ABS(F16-F14)/ABS(A16-A14))</f>
        <v/>
      </c>
      <c r="T15" s="6">
        <f>IF(AND(ISNUMBER(H15),ISNUMBER(Ввод!$E$1),Ввод!$E$1=1,H15&gt;=2),"по выпариванию (5.5.6)","по отгону")</f>
        <v/>
      </c>
      <c r="U15" s="6">
        <f>IF(OR(ISBLANK(B15),ISBLANK(C15)),"НЕ РАССЧИТАНО",IF(AND(ISNUMBER(N15),ISNUMBER(O15)),IF(N15&lt;=O15,"OK","НЕ СООТВЕТСТВУЕТ"),"НЕ РАССЧИТАНО"))</f>
        <v/>
      </c>
      <c r="V15" s="6">
        <f>IF(ISNUMBER(A15),IF(Ввод!$E$1=1,ROUND(A15+Ввод!E25,1),A15),"")</f>
        <v/>
      </c>
    </row>
    <row r="16">
      <c r="A16" s="2" t="n">
        <v>70</v>
      </c>
      <c r="B16" s="6">
        <f>Ввод!C18</f>
        <v/>
      </c>
      <c r="C16" s="6">
        <f>Ввод!D18</f>
        <v/>
      </c>
      <c r="D16" s="6">
        <f>IF(OR(ISBLANK(B16),ISBLANK(C16)),B16,MROUND((B16+C16)/2,0.5))</f>
        <v/>
      </c>
      <c r="E16" s="6">
        <f>IF(ISNUMBER(D16),0.0009*(101.3-Ввод!$B$1*0.133322)*(273+D16),"")</f>
        <v/>
      </c>
      <c r="F16" s="6">
        <f>IF(ISBLANK(D16),"",MROUND(D16+E16,0.5))</f>
        <v/>
      </c>
      <c r="G16" s="6" t="inlineStr">
        <is>
          <t>'Ввод'!B18+'Ввод'!F25</t>
        </is>
      </c>
      <c r="H16" s="6">
        <f>IF(ISNUMBER(G16),100-G16,"")</f>
        <v/>
      </c>
      <c r="I16" s="6">
        <f>IF(AND(ISNUMBER(G16),ISNUMBER(H16)),G16+H16,"")</f>
        <v/>
      </c>
      <c r="J16" s="6">
        <f>IF(AND(ISNUMBER(Ввод!$B$1),Ввод!$B$1&gt;=560,Ввод!$B$1&lt;=760),INDEX(Табл4!C$2:C$22,MATCH(Ввод!$B$1,Табл4!A$2:A$22,1)),"")</f>
        <v/>
      </c>
      <c r="K16" s="6">
        <f>IF(AND(ISNUMBER(Ввод!$B$1),Ввод!$B$1&gt;=560,Ввод!$B$1&lt;=760),INDEX(Табл4!D$2:D$22,MATCH(Ввод!$B$1,Табл4!A$2:A$22,1)),"")</f>
        <v/>
      </c>
      <c r="L16" s="6">
        <f>IF(AND(ISNUMBER(J16),ISNUMBER(K16),ISNUMBER(H16)),J16*H16+K16,"")</f>
        <v/>
      </c>
      <c r="M16" s="6">
        <f>IF(AND(ISNUMBER(G16),ISNUMBER(H16),ISNUMBER(L16)),G16+(H16-L16),"")</f>
        <v/>
      </c>
      <c r="N16" s="6">
        <f>IF(OR(ISBLANK(B16),ISBLANK(C16)),"",ABS(B16-C16))</f>
        <v/>
      </c>
      <c r="O16" s="6">
        <f>IF(ISBLANK(S16),"",INDEX(Номограмма!B$2:B$52,MATCH(MIN(S16,5),Номограмма!A$2:A$52,-1)))</f>
        <v/>
      </c>
      <c r="P16" s="6">
        <f>IF(ISBLANK(S16),"",INDEX(Номограмма!E$2:E$52,MATCH(MIN(S16,5),Номограмма!A$2:A$52,-1)))</f>
        <v/>
      </c>
      <c r="Q16" s="6">
        <f>IF(AND(ISNUMBER(P16),ISNUMBER(O16),P16^2-O16^2/2&gt;=0),(1/SQRT(2))*SQRT(P16^2-O16^2/2),"")</f>
        <v/>
      </c>
      <c r="R16" s="6">
        <f>IF(ISNUMBER(P16),0.84*P16,"")</f>
        <v/>
      </c>
      <c r="S16" s="6">
        <f>IF(OR(ISBLANK(F15),ISBLANK(F17)),"",ABS(F17-F15)/ABS(A17-A15))</f>
        <v/>
      </c>
      <c r="T16" s="6">
        <f>IF(AND(ISNUMBER(H16),ISNUMBER(Ввод!$E$1),Ввод!$E$1=1,H16&gt;=2),"по выпариванию (5.5.6)","по отгону")</f>
        <v/>
      </c>
      <c r="U16" s="6">
        <f>IF(OR(ISBLANK(B16),ISBLANK(C16)),"НЕ РАССЧИТАНО",IF(AND(ISNUMBER(N16),ISNUMBER(O16)),IF(N16&lt;=O16,"OK","НЕ СООТВЕТСТВУЕТ"),"НЕ РАССЧИТАНО"))</f>
        <v/>
      </c>
      <c r="V16" s="6">
        <f>IF(ISNUMBER(A16),IF(Ввод!$E$1=1,ROUND(A16+Ввод!E25,1),A16),"")</f>
        <v/>
      </c>
    </row>
    <row r="17">
      <c r="A17" s="2" t="n">
        <v>75</v>
      </c>
      <c r="B17" s="6">
        <f>Ввод!C19</f>
        <v/>
      </c>
      <c r="C17" s="6">
        <f>Ввод!D19</f>
        <v/>
      </c>
      <c r="D17" s="6">
        <f>IF(OR(ISBLANK(B17),ISBLANK(C17)),B17,MROUND((B17+C17)/2,0.5))</f>
        <v/>
      </c>
      <c r="E17" s="6">
        <f>IF(ISNUMBER(D17),0.0009*(101.3-Ввод!$B$1*0.133322)*(273+D17),"")</f>
        <v/>
      </c>
      <c r="F17" s="6">
        <f>IF(ISBLANK(D17),"",MROUND(D17+E17,0.5))</f>
        <v/>
      </c>
      <c r="G17" s="6" t="inlineStr">
        <is>
          <t>'Ввод'!B19+'Ввод'!F25</t>
        </is>
      </c>
      <c r="H17" s="6">
        <f>IF(ISNUMBER(G17),100-G17,"")</f>
        <v/>
      </c>
      <c r="I17" s="6">
        <f>IF(AND(ISNUMBER(G17),ISNUMBER(H17)),G17+H17,"")</f>
        <v/>
      </c>
      <c r="J17" s="6">
        <f>IF(AND(ISNUMBER(Ввод!$B$1),Ввод!$B$1&gt;=560,Ввод!$B$1&lt;=760),INDEX(Табл4!C$2:C$22,MATCH(Ввод!$B$1,Табл4!A$2:A$22,1)),"")</f>
        <v/>
      </c>
      <c r="K17" s="6">
        <f>IF(AND(ISNUMBER(Ввод!$B$1),Ввод!$B$1&gt;=560,Ввод!$B$1&lt;=760),INDEX(Табл4!D$2:D$22,MATCH(Ввод!$B$1,Табл4!A$2:A$22,1)),"")</f>
        <v/>
      </c>
      <c r="L17" s="6">
        <f>IF(AND(ISNUMBER(J17),ISNUMBER(K17),ISNUMBER(H17)),J17*H17+K17,"")</f>
        <v/>
      </c>
      <c r="M17" s="6">
        <f>IF(AND(ISNUMBER(G17),ISNUMBER(H17),ISNUMBER(L17)),G17+(H17-L17),"")</f>
        <v/>
      </c>
      <c r="N17" s="6">
        <f>IF(OR(ISBLANK(B17),ISBLANK(C17)),"",ABS(B17-C17))</f>
        <v/>
      </c>
      <c r="O17" s="6">
        <f>IF(ISBLANK(S17),"",INDEX(Номограмма!B$2:B$52,MATCH(MIN(S17,5),Номограмма!A$2:A$52,-1)))</f>
        <v/>
      </c>
      <c r="P17" s="6">
        <f>IF(ISBLANK(S17),"",INDEX(Номограмма!E$2:E$52,MATCH(MIN(S17,5),Номограмма!A$2:A$52,-1)))</f>
        <v/>
      </c>
      <c r="Q17" s="6">
        <f>IF(AND(ISNUMBER(P17),ISNUMBER(O17),P17^2-O17^2/2&gt;=0),(1/SQRT(2))*SQRT(P17^2-O17^2/2),"")</f>
        <v/>
      </c>
      <c r="R17" s="6">
        <f>IF(ISNUMBER(P17),0.84*P17,"")</f>
        <v/>
      </c>
      <c r="S17" s="6">
        <f>IF(OR(ISBLANK(F16),ISBLANK(F18)),"",ABS(F18-F16)/ABS(A18-A16))</f>
        <v/>
      </c>
      <c r="T17" s="6">
        <f>IF(AND(ISNUMBER(H17),ISNUMBER(Ввод!$E$1),Ввод!$E$1=1,H17&gt;=2),"по выпариванию (5.5.6)","по отгону")</f>
        <v/>
      </c>
      <c r="U17" s="6">
        <f>IF(OR(ISBLANK(B17),ISBLANK(C17)),"НЕ РАССЧИТАНО",IF(AND(ISNUMBER(N17),ISNUMBER(O17)),IF(N17&lt;=O17,"OK","НЕ СООТВЕТСТВУЕТ"),"НЕ РАССЧИТАНО"))</f>
        <v/>
      </c>
      <c r="V17" s="6">
        <f>IF(ISNUMBER(A17),IF(Ввод!$E$1=1,ROUND(A17+Ввод!E25,1),A17),"")</f>
        <v/>
      </c>
    </row>
    <row r="18">
      <c r="A18" s="2" t="n">
        <v>80</v>
      </c>
      <c r="B18" s="6">
        <f>Ввод!C20</f>
        <v/>
      </c>
      <c r="C18" s="6">
        <f>Ввод!D20</f>
        <v/>
      </c>
      <c r="D18" s="6">
        <f>IF(OR(ISBLANK(B18),ISBLANK(C18)),B18,MROUND((B18+C18)/2,0.5))</f>
        <v/>
      </c>
      <c r="E18" s="6">
        <f>IF(ISNUMBER(D18),0.0009*(101.3-Ввод!$B$1*0.133322)*(273+D18),"")</f>
        <v/>
      </c>
      <c r="F18" s="6">
        <f>IF(ISBLANK(D18),"",MROUND(D18+E18,0.5))</f>
        <v/>
      </c>
      <c r="G18" s="6" t="inlineStr">
        <is>
          <t>'Ввод'!B20+'Ввод'!F25</t>
        </is>
      </c>
      <c r="H18" s="6">
        <f>IF(ISNUMBER(G18),100-G18,"")</f>
        <v/>
      </c>
      <c r="I18" s="6">
        <f>IF(AND(ISNUMBER(G18),ISNUMBER(H18)),G18+H18,"")</f>
        <v/>
      </c>
      <c r="J18" s="6">
        <f>IF(AND(ISNUMBER(Ввод!$B$1),Ввод!$B$1&gt;=560,Ввод!$B$1&lt;=760),INDEX(Табл4!C$2:C$22,MATCH(Ввод!$B$1,Табл4!A$2:A$22,1)),"")</f>
        <v/>
      </c>
      <c r="K18" s="6">
        <f>IF(AND(ISNUMBER(Ввод!$B$1),Ввод!$B$1&gt;=560,Ввод!$B$1&lt;=760),INDEX(Табл4!D$2:D$22,MATCH(Ввод!$B$1,Табл4!A$2:A$22,1)),"")</f>
        <v/>
      </c>
      <c r="L18" s="6">
        <f>IF(AND(ISNUMBER(J18),ISNUMBER(K18),ISNUMBER(H18)),J18*H18+K18,"")</f>
        <v/>
      </c>
      <c r="M18" s="6">
        <f>IF(AND(ISNUMBER(G18),ISNUMBER(H18),ISNUMBER(L18)),G18+(H18-L18),"")</f>
        <v/>
      </c>
      <c r="N18" s="6">
        <f>IF(OR(ISBLANK(B18),ISBLANK(C18)),"",ABS(B18-C18))</f>
        <v/>
      </c>
      <c r="O18" s="6">
        <f>IF(ISBLANK(S18),"",INDEX(Номограмма!B$2:B$52,MATCH(MIN(S18,5),Номограмма!A$2:A$52,-1)))</f>
        <v/>
      </c>
      <c r="P18" s="6">
        <f>IF(ISBLANK(S18),"",INDEX(Номограмма!E$2:E$52,MATCH(MIN(S18,5),Номограмма!A$2:A$52,-1)))</f>
        <v/>
      </c>
      <c r="Q18" s="6">
        <f>IF(AND(ISNUMBER(P18),ISNUMBER(O18),P18^2-O18^2/2&gt;=0),(1/SQRT(2))*SQRT(P18^2-O18^2/2),"")</f>
        <v/>
      </c>
      <c r="R18" s="6">
        <f>IF(ISNUMBER(P18),0.84*P18,"")</f>
        <v/>
      </c>
      <c r="S18" s="6">
        <f>IF(OR(ISBLANK(F17),ISBLANK(F19)),"",ABS(F19-F17)/ABS(A19-A17))</f>
        <v/>
      </c>
      <c r="T18" s="6">
        <f>IF(AND(ISNUMBER(H18),ISNUMBER(Ввод!$E$1),Ввод!$E$1=1,H18&gt;=2),"по выпариванию (5.5.6)","по отгону")</f>
        <v/>
      </c>
      <c r="U18" s="6">
        <f>IF(OR(ISBLANK(B18),ISBLANK(C18)),"НЕ РАССЧИТАНО",IF(AND(ISNUMBER(N18),ISNUMBER(O18)),IF(N18&lt;=O18,"OK","НЕ СООТВЕТСТВУЕТ"),"НЕ РАССЧИТАНО"))</f>
        <v/>
      </c>
      <c r="V18" s="6">
        <f>IF(ISNUMBER(A18),IF(Ввод!$E$1=1,ROUND(A18+Ввод!E25,1),A18),"")</f>
        <v/>
      </c>
    </row>
    <row r="19">
      <c r="A19" s="2" t="n">
        <v>85</v>
      </c>
      <c r="B19" s="6">
        <f>Ввод!C21</f>
        <v/>
      </c>
      <c r="C19" s="6">
        <f>Ввод!D21</f>
        <v/>
      </c>
      <c r="D19" s="6">
        <f>IF(OR(ISBLANK(B19),ISBLANK(C19)),B19,MROUND((B19+C19)/2,0.5))</f>
        <v/>
      </c>
      <c r="E19" s="6">
        <f>IF(ISNUMBER(D19),0.0009*(101.3-Ввод!$B$1*0.133322)*(273+D19),"")</f>
        <v/>
      </c>
      <c r="F19" s="6">
        <f>IF(ISBLANK(D19),"",MROUND(D19+E19,0.5))</f>
        <v/>
      </c>
      <c r="G19" s="6" t="inlineStr">
        <is>
          <t>'Ввод'!B21+'Ввод'!F25</t>
        </is>
      </c>
      <c r="H19" s="6">
        <f>IF(ISNUMBER(G19),100-G19,"")</f>
        <v/>
      </c>
      <c r="I19" s="6">
        <f>IF(AND(ISNUMBER(G19),ISNUMBER(H19)),G19+H19,"")</f>
        <v/>
      </c>
      <c r="J19" s="6">
        <f>IF(AND(ISNUMBER(Ввод!$B$1),Ввод!$B$1&gt;=560,Ввод!$B$1&lt;=760),INDEX(Табл4!C$2:C$22,MATCH(Ввод!$B$1,Табл4!A$2:A$22,1)),"")</f>
        <v/>
      </c>
      <c r="K19" s="6">
        <f>IF(AND(ISNUMBER(Ввод!$B$1),Ввод!$B$1&gt;=560,Ввод!$B$1&lt;=760),INDEX(Табл4!D$2:D$22,MATCH(Ввод!$B$1,Табл4!A$2:A$22,1)),"")</f>
        <v/>
      </c>
      <c r="L19" s="6">
        <f>IF(AND(ISNUMBER(J19),ISNUMBER(K19),ISNUMBER(H19)),J19*H19+K19,"")</f>
        <v/>
      </c>
      <c r="M19" s="6">
        <f>IF(AND(ISNUMBER(G19),ISNUMBER(H19),ISNUMBER(L19)),G19+(H19-L19),"")</f>
        <v/>
      </c>
      <c r="N19" s="6">
        <f>IF(OR(ISBLANK(B19),ISBLANK(C19)),"",ABS(B19-C19))</f>
        <v/>
      </c>
      <c r="O19" s="6">
        <f>IF(ISBLANK(S19),"",INDEX(Номограмма!B$2:B$52,MATCH(MIN(S19,5),Номограмма!A$2:A$52,-1)))</f>
        <v/>
      </c>
      <c r="P19" s="6">
        <f>IF(ISBLANK(S19),"",INDEX(Номограмма!E$2:E$52,MATCH(MIN(S19,5),Номограмма!A$2:A$52,-1)))</f>
        <v/>
      </c>
      <c r="Q19" s="6">
        <f>IF(AND(ISNUMBER(P19),ISNUMBER(O19),P19^2-O19^2/2&gt;=0),(1/SQRT(2))*SQRT(P19^2-O19^2/2),"")</f>
        <v/>
      </c>
      <c r="R19" s="6">
        <f>IF(ISNUMBER(P19),0.84*P19,"")</f>
        <v/>
      </c>
      <c r="S19" s="6">
        <f>IF(OR(ISBLANK(F18),ISBLANK(F20)),"",ABS(F20-F18)/ABS(A20-A18))</f>
        <v/>
      </c>
      <c r="T19" s="6">
        <f>IF(AND(ISNUMBER(H19),ISNUMBER(Ввод!$E$1),Ввод!$E$1=1,H19&gt;=2),"по выпариванию (5.5.6)","по отгону")</f>
        <v/>
      </c>
      <c r="U19" s="6">
        <f>IF(OR(ISBLANK(B19),ISBLANK(C19)),"НЕ РАССЧИТАНО",IF(AND(ISNUMBER(N19),ISNUMBER(O19)),IF(N19&lt;=O19,"OK","НЕ СООТВЕТСТВУЕТ"),"НЕ РАССЧИТАНО"))</f>
        <v/>
      </c>
      <c r="V19" s="6">
        <f>IF(ISNUMBER(A19),IF(Ввод!$E$1=1,ROUND(A19+Ввод!E25,1),A19),"")</f>
        <v/>
      </c>
    </row>
    <row r="20">
      <c r="A20" s="2" t="n">
        <v>90</v>
      </c>
      <c r="B20" s="6">
        <f>Ввод!C22</f>
        <v/>
      </c>
      <c r="C20" s="6">
        <f>Ввод!D22</f>
        <v/>
      </c>
      <c r="D20" s="6">
        <f>IF(OR(ISBLANK(B20),ISBLANK(C20)),B20,MROUND((B20+C20)/2,0.5))</f>
        <v/>
      </c>
      <c r="E20" s="6">
        <f>IF(ISNUMBER(D20),0.0009*(101.3-Ввод!$B$1*0.133322)*(273+D20),"")</f>
        <v/>
      </c>
      <c r="F20" s="6">
        <f>IF(ISBLANK(D20),"",MROUND(D20+E20,0.5))</f>
        <v/>
      </c>
      <c r="G20" s="6" t="inlineStr">
        <is>
          <t>'Ввод'!B22+'Ввод'!F25</t>
        </is>
      </c>
      <c r="H20" s="6">
        <f>IF(ISNUMBER(G20),100-G20,"")</f>
        <v/>
      </c>
      <c r="I20" s="6">
        <f>IF(AND(ISNUMBER(G20),ISNUMBER(H20)),G20+H20,"")</f>
        <v/>
      </c>
      <c r="J20" s="6">
        <f>IF(AND(ISNUMBER(Ввод!$B$1),Ввод!$B$1&gt;=560,Ввод!$B$1&lt;=760),INDEX(Табл4!C$2:C$22,MATCH(Ввод!$B$1,Табл4!A$2:A$22,1)),"")</f>
        <v/>
      </c>
      <c r="K20" s="6">
        <f>IF(AND(ISNUMBER(Ввод!$B$1),Ввод!$B$1&gt;=560,Ввод!$B$1&lt;=760),INDEX(Табл4!D$2:D$22,MATCH(Ввод!$B$1,Табл4!A$2:A$22,1)),"")</f>
        <v/>
      </c>
      <c r="L20" s="6">
        <f>IF(AND(ISNUMBER(J20),ISNUMBER(K20),ISNUMBER(H20)),J20*H20+K20,"")</f>
        <v/>
      </c>
      <c r="M20" s="6">
        <f>IF(AND(ISNUMBER(G20),ISNUMBER(H20),ISNUMBER(L20)),G20+(H20-L20),"")</f>
        <v/>
      </c>
      <c r="N20" s="6">
        <f>IF(OR(ISBLANK(B20),ISBLANK(C20)),"",ABS(B20-C20))</f>
        <v/>
      </c>
      <c r="O20" s="6">
        <f>IF(ISBLANK(S20),"",INDEX(Номограмма!B$2:B$52,MATCH(MIN(S20,5),Номограмма!A$2:A$52,-1)))</f>
        <v/>
      </c>
      <c r="P20" s="6">
        <f>IF(ISBLANK(S20),"",INDEX(Номограмма!E$2:E$52,MATCH(MIN(S20,5),Номограмма!A$2:A$52,-1)))</f>
        <v/>
      </c>
      <c r="Q20" s="6">
        <f>IF(AND(ISNUMBER(P20),ISNUMBER(O20),P20^2-O20^2/2&gt;=0),(1/SQRT(2))*SQRT(P20^2-O20^2/2),"")</f>
        <v/>
      </c>
      <c r="R20" s="6">
        <f>IF(ISNUMBER(P20),0.84*P20,"")</f>
        <v/>
      </c>
      <c r="S20" s="6">
        <f>IF(OR(ISBLANK(F19),ISBLANK(F21)),"",ABS(F21-F19)/(A21-A19))</f>
        <v/>
      </c>
      <c r="T20" s="6">
        <f>IF(AND(ISNUMBER(H20),ISNUMBER(Ввод!$E$1),Ввод!$E$1=1,H20&gt;=2),"по выпариванию (5.5.6)","по отгону")</f>
        <v/>
      </c>
      <c r="U20" s="6">
        <f>IF(OR(ISBLANK(B20),ISBLANK(C20)),"НЕ РАССЧИТАНО",IF(AND(ISNUMBER(N20),ISNUMBER(O20)),IF(N20&lt;=O20,"OK","НЕ СООТВЕТСТВУЕТ"),"НЕ РАССЧИТАНО"))</f>
        <v/>
      </c>
      <c r="V20" s="6">
        <f>IF(ISNUMBER(A20),IF(Ввод!$E$1=1,ROUND(A20+Ввод!E25,1),A20),"")</f>
        <v/>
      </c>
    </row>
    <row r="21">
      <c r="A21" s="2" t="n">
        <v>95</v>
      </c>
      <c r="B21" s="6">
        <f>Ввод!C23</f>
        <v/>
      </c>
      <c r="C21" s="6">
        <f>Ввод!D23</f>
        <v/>
      </c>
      <c r="D21" s="6">
        <f>IF(OR(ISBLANK(B21),ISBLANK(C21)),B21,MROUND((B21+C21)/2,0.5))</f>
        <v/>
      </c>
      <c r="E21" s="6">
        <f>IF(ISNUMBER(D21),0.0009*(101.3-Ввод!$B$1*0.133322)*(273+D21),"")</f>
        <v/>
      </c>
      <c r="F21" s="6">
        <f>IF(ISBLANK(D21),"",MROUND(D21+E21,0.5))</f>
        <v/>
      </c>
      <c r="G21" s="6" t="inlineStr">
        <is>
          <t>'Ввод'!B23+'Ввод'!F25</t>
        </is>
      </c>
      <c r="H21" s="6">
        <f>IF(ISNUMBER(G21),100-G21,"")</f>
        <v/>
      </c>
      <c r="I21" s="6">
        <f>IF(AND(ISNUMBER(G21),ISNUMBER(H21)),G21+H21,"")</f>
        <v/>
      </c>
      <c r="J21" s="6">
        <f>IF(AND(ISNUMBER(Ввод!$B$1),Ввод!$B$1&gt;=560,Ввод!$B$1&lt;=760),INDEX(Табл4!C$2:C$22,MATCH(Ввод!$B$1,Табл4!A$2:A$22,1)),"")</f>
        <v/>
      </c>
      <c r="K21" s="6">
        <f>IF(AND(ISNUMBER(Ввод!$B$1),Ввод!$B$1&gt;=560,Ввод!$B$1&lt;=760),INDEX(Табл4!D$2:D$22,MATCH(Ввод!$B$1,Табл4!A$2:A$22,1)),"")</f>
        <v/>
      </c>
      <c r="L21" s="6">
        <f>IF(AND(ISNUMBER(J21),ISNUMBER(K21),ISNUMBER(H21)),J21*H21+K21,"")</f>
        <v/>
      </c>
      <c r="M21" s="6">
        <f>IF(AND(ISNUMBER(G21),ISNUMBER(H21),ISNUMBER(L21)),G21+(H21-L21),"")</f>
        <v/>
      </c>
      <c r="N21" s="6">
        <f>IF(OR(ISBLANK(B21),ISBLANK(C21)),"",ABS(B21-C21))</f>
        <v/>
      </c>
      <c r="O21" s="6">
        <f>IF(ISBLANK(S21),"",INDEX(Номограмма!B$2:B$52,MATCH(MIN(S21,5),Номограмма!A$2:A$52,-1)))</f>
        <v/>
      </c>
      <c r="P21" s="6">
        <f>IF(ISBLANK(S21),"",INDEX(Номограмма!E$2:E$52,MATCH(MIN(S21,5),Номограмма!A$2:A$52,-1)))</f>
        <v/>
      </c>
      <c r="Q21" s="6">
        <f>IF(AND(ISNUMBER(P21),ISNUMBER(O21),P21^2-O21^2/2&gt;=0),(1/SQRT(2))*SQRT(P21^2-O21^2/2),"")</f>
        <v/>
      </c>
      <c r="R21" s="6">
        <f>IF(ISNUMBER(P21),0.84*P21,"")</f>
        <v/>
      </c>
      <c r="S21" s="6">
        <f>IF(OR(ISBLANK(F20),ISBLANK(F22)),"",ABS(F22-F20)/(A22-A20))</f>
        <v/>
      </c>
      <c r="T21" s="6">
        <f>IF(AND(ISNUMBER(H21),ISNUMBER(Ввод!$E$1),Ввод!$E$1=1,H21&gt;=2),"по выпариванию (5.5.6)","по отгону")</f>
        <v/>
      </c>
      <c r="U21" s="6">
        <f>IF(OR(ISBLANK(B21),ISBLANK(C21)),"НЕ РАССЧИТАНО",IF(AND(ISNUMBER(N21),ISNUMBER(O21)),IF(N21&lt;=O21,"OK","НЕ СООТВЕТСТВУЕТ"),"НЕ РАССЧИТАНО"))</f>
        <v/>
      </c>
      <c r="V21" s="6">
        <f>IF(ISNUMBER(A21),IF(Ввод!$E$1=1,ROUND(A21+Ввод!E25,1),A21),"")</f>
        <v/>
      </c>
    </row>
    <row r="22">
      <c r="A22" s="2" t="n">
        <v>100</v>
      </c>
      <c r="B22" s="6">
        <f>Ввод!C24</f>
        <v/>
      </c>
      <c r="C22" s="6">
        <f>Ввод!D24</f>
        <v/>
      </c>
      <c r="D22" s="6">
        <f>IF(OR(ISBLANK(B22),ISBLANK(C22)),B22,MROUND((B22+C22)/2,0.5))</f>
        <v/>
      </c>
      <c r="E22" s="6">
        <f>IF(ISNUMBER(D22),0.0009*(101.3-Ввод!$B$1*0.133322)*(273+D22),"")</f>
        <v/>
      </c>
      <c r="F22" s="6">
        <f>IF(ISBLANK(D22),"",MROUND(D22+E22,0.5))</f>
        <v/>
      </c>
      <c r="G22" s="6" t="inlineStr">
        <is>
          <t>'Ввод'!B24+'Ввод'!F25</t>
        </is>
      </c>
      <c r="H22" s="6">
        <f>IF(ISNUMBER(G22),100-G22,"")</f>
        <v/>
      </c>
      <c r="I22" s="6">
        <f>IF(AND(ISNUMBER(G22),ISNUMBER(H22)),G22+H22,"")</f>
        <v/>
      </c>
      <c r="J22" s="6">
        <f>IF(AND(ISNUMBER(Ввод!$B$1),Ввод!$B$1&gt;=560,Ввод!$B$1&lt;=760),INDEX(Табл4!C$2:C$22,MATCH(Ввод!$B$1,Табл4!A$2:A$22,1)),"")</f>
        <v/>
      </c>
      <c r="K22" s="6">
        <f>IF(AND(ISNUMBER(Ввод!$B$1),Ввод!$B$1&gt;=560,Ввод!$B$1&lt;=760),INDEX(Табл4!D$2:D$22,MATCH(Ввод!$B$1,Табл4!A$2:A$22,1)),"")</f>
        <v/>
      </c>
      <c r="L22" s="6">
        <f>IF(AND(ISNUMBER(J22),ISNUMBER(K22),ISNUMBER(H22)),J22*H22+K22,"")</f>
        <v/>
      </c>
      <c r="M22" s="6">
        <f>IF(AND(ISNUMBER(G22),ISNUMBER(H22),ISNUMBER(L22)),G22+(H22-L22),"")</f>
        <v/>
      </c>
      <c r="N22" s="6">
        <f>IF(OR(ISBLANK(B22),ISBLANK(C22)),"",ABS(B22-C22))</f>
        <v/>
      </c>
      <c r="O22" s="6">
        <f>IF(ISBLANK(S22),"",INDEX(Номограмма!B$2:B$52,MATCH(MIN(S22,5),Номограмма!A$2:A$52,-1)))</f>
        <v/>
      </c>
      <c r="P22" s="6">
        <f>IF(ISBLANK(S22),"",INDEX(Номограмма!E$2:E$52,MATCH(MIN(S22,5),Номограмма!A$2:A$52,-1)))</f>
        <v/>
      </c>
      <c r="Q22" s="6">
        <f>IF(AND(ISNUMBER(P22),ISNUMBER(O22),P22^2-O22^2/2&gt;=0),(1/SQRT(2))*SQRT(P22^2-O22^2/2),"")</f>
        <v/>
      </c>
      <c r="R22" s="6">
        <f>IF(ISNUMBER(P22),0.84*P22,"")</f>
        <v/>
      </c>
      <c r="S22" s="6">
        <f>IF(OR(ISBLANK(F21),ISBLANK(F22)),"",ABS(F22-F21)/ABS(A22-A21))</f>
        <v/>
      </c>
      <c r="T22" s="6">
        <f>IF(AND(ISNUMBER(H22),ISNUMBER(Ввод!$E$1),Ввод!$E$1=1,H22&gt;=2),"по выпариванию (5.5.6)","по отгону")</f>
        <v/>
      </c>
      <c r="U22" s="6">
        <f>IF(OR(ISBLANK(B22),ISBLANK(C22)),"НЕ РАССЧИТАНО",IF(AND(ISNUMBER(N22),ISNUMBER(O22)),IF(N22&lt;=O22,"OK","НЕ СООТВЕТСТВУЕТ"),"НЕ РАССЧИТАНО"))</f>
        <v/>
      </c>
      <c r="V22" s="6">
        <f>IF(ISNUMBER(A22),IF(Ввод!$E$1=1,ROUND(A22+Ввод!E25,1),A22),"")</f>
        <v/>
      </c>
    </row>
    <row r="25">
      <c r="A25" s="10" t="inlineStr">
        <is>
          <t>ВЕТКА 2 — ЗАДАНЫ ТЕМПЕРАТУРЫ (независимая ветка, ввод на этом листе): температуры из НД (нормируемые при 760 мм рт.ст.) → T_фикс (что ФИКСИРОВАТЬ на термометре при текущем давлении) → лаборант вводит ОБЪЁМЫ двух параллелей (V1, V2) → Vср, % = (V1+V2)/2 / Ввод!$G$1 * 100 → второй график и вторая модель</t>
        </is>
      </c>
    </row>
    <row r="26">
      <c r="A26" s="11" t="inlineStr">
        <is>
          <t>T_НД (при 760), °C</t>
        </is>
      </c>
      <c r="B26" s="11" t="inlineStr">
        <is>
          <t>T_фикс (ФИКСИРОВАТЬ), °C</t>
        </is>
      </c>
      <c r="C26" s="11" t="inlineStr">
        <is>
          <t>C_проверка, °C</t>
        </is>
      </c>
      <c r="D26" s="11" t="inlineStr">
        <is>
          <t>V1, мл (проба 1)</t>
        </is>
      </c>
      <c r="E26" s="11" t="inlineStr">
        <is>
          <t>V2, мл (проба 2)</t>
        </is>
      </c>
      <c r="F26" s="11" t="inlineStr">
        <is>
          <t>Vср, %</t>
        </is>
      </c>
      <c r="G26" s="11" t="inlineStr">
        <is>
          <t>r, %</t>
        </is>
      </c>
      <c r="H26" s="11" t="inlineStr">
        <is>
          <t>Статус</t>
        </is>
      </c>
      <c r="I26" s="11" t="inlineStr">
        <is>
          <t>ПОДСКАЗКА</t>
        </is>
      </c>
    </row>
    <row r="27">
      <c r="A27" s="12" t="n"/>
      <c r="B27" s="13">
        <f>IF(ISNUMBER(A27),(A27-0.0009*(101.3-Ввод!$B$1*0.133322)*273)/(1+0.0009*(101.3-Ввод!$B$1*0.133322)),"")</f>
        <v/>
      </c>
      <c r="C27" s="14">
        <f>IF(ISNUMBER(A27),B27+0.0009*(101.3-Ввод!$B$1*0.133322)*(273+B27)-A27,"")</f>
        <v/>
      </c>
      <c r="D27" s="12" t="n"/>
      <c r="E27" s="12" t="n"/>
      <c r="F27" s="13">
        <f>IF(AND(ISNUMBER(D27),ISNUMBER(E27)),(D27+E27)/2/Ввод!$G$1*100,"")</f>
        <v/>
      </c>
      <c r="G27" s="14">
        <f>IF(AND(ISNUMBER(D27),ISNUMBER(E27),F27&lt;&gt;0),ABS(D27-E27)/(D27+E27)*100,"")</f>
        <v/>
      </c>
      <c r="H27" s="15">
        <f>IF(ISNUMBER(A27),IF(AND(ISNUMBER(D27),ISNUMBER(E27)),"OK","введи V1 и V2"),"—")</f>
        <v/>
      </c>
      <c r="I27" s="16" t="inlineStr">
        <is>
          <t>ВЕТКА 2 — НЕЗАВИСИМАЯ ветка «заданы температуры». 1) В колонку A (T_НД) введите числами температуры из НД (нормируемые при 760), например 150, 160, 250. 2) В колонке B — T_фикс = (T_цель − k·273)/(1+k): какую температуру ФИКСИРОВАТЬ на термометре при текущем давлении; C_проверка≈0 — пересчёт верен. 3) Проведите дистилляцию, фиксируя T_фикс, и вбейте объёмы ДВУХ ПАРАЛЛЕЛЕЙ: колонки D (V1, мл, проба 1) и E (V2, мл, проба 2) — зелёные. 4) Vср, % = (V1+V2)/2 / Ввод!$G$1 * 100 — расчёт (F). По точкам (Vср → T_НД) строится ВТОРОЙ график и ВТОРАЯ модель (кубический полином) — см. лист «График». Ветка 1 и Ветка 2 НЕЗАВИСИМЫ.</t>
        </is>
      </c>
    </row>
    <row r="28">
      <c r="A28" s="12" t="n"/>
      <c r="B28" s="13">
        <f>IF(ISNUMBER(A28),(A28-0.0009*(101.3-Ввод!$B$1*0.133322)*273)/(1+0.0009*(101.3-Ввод!$B$1*0.133322)),"")</f>
        <v/>
      </c>
      <c r="C28" s="14">
        <f>IF(ISNUMBER(A28),B28+0.0009*(101.3-Ввод!$B$1*0.133322)*(273+B28)-A28,"")</f>
        <v/>
      </c>
      <c r="D28" s="12" t="n"/>
      <c r="E28" s="12" t="n"/>
      <c r="F28" s="13">
        <f>IF(AND(ISNUMBER(D28),ISNUMBER(E28)),(D28+E28)/2/Ввод!$G$1*100,"")</f>
        <v/>
      </c>
      <c r="G28" s="14">
        <f>IF(AND(ISNUMBER(D28),ISNUMBER(E28),F28&lt;&gt;0),ABS(D28-E28)/(D28+E28)*100,"")</f>
        <v/>
      </c>
      <c r="H28" s="15">
        <f>IF(ISNUMBER(A28),IF(AND(ISNUMBER(D28),ISNUMBER(E28)),"OK","введи V1 и V2"),"—")</f>
        <v/>
      </c>
    </row>
    <row r="29">
      <c r="A29" s="12" t="n"/>
      <c r="B29" s="13">
        <f>IF(ISNUMBER(A29),(A29-0.0009*(101.3-Ввод!$B$1*0.133322)*273)/(1+0.0009*(101.3-Ввод!$B$1*0.133322)),"")</f>
        <v/>
      </c>
      <c r="C29" s="14">
        <f>IF(ISNUMBER(A29),B29+0.0009*(101.3-Ввод!$B$1*0.133322)*(273+B29)-A29,"")</f>
        <v/>
      </c>
      <c r="D29" s="12" t="n"/>
      <c r="E29" s="12" t="n"/>
      <c r="F29" s="13">
        <f>IF(AND(ISNUMBER(D29),ISNUMBER(E29)),(D29+E29)/2/Ввод!$G$1*100,"")</f>
        <v/>
      </c>
      <c r="G29" s="14">
        <f>IF(AND(ISNUMBER(D29),ISNUMBER(E29),F29&lt;&gt;0),ABS(D29-E29)/(D29+E29)*100,"")</f>
        <v/>
      </c>
      <c r="H29" s="15">
        <f>IF(ISNUMBER(A29),IF(AND(ISNUMBER(D29),ISNUMBER(E29)),"OK","введи V1 и V2"),"—")</f>
        <v/>
      </c>
    </row>
    <row r="30">
      <c r="A30" s="12" t="n"/>
      <c r="B30" s="13">
        <f>IF(ISNUMBER(A30),(A30-0.0009*(101.3-Ввод!$B$1*0.133322)*273)/(1+0.0009*(101.3-Ввод!$B$1*0.133322)),"")</f>
        <v/>
      </c>
      <c r="C30" s="14">
        <f>IF(ISNUMBER(A30),B30+0.0009*(101.3-Ввод!$B$1*0.133322)*(273+B30)-A30,"")</f>
        <v/>
      </c>
      <c r="D30" s="12" t="n"/>
      <c r="E30" s="12" t="n"/>
      <c r="F30" s="13">
        <f>IF(AND(ISNUMBER(D30),ISNUMBER(E30)),(D30+E30)/2/Ввод!$G$1*100,"")</f>
        <v/>
      </c>
      <c r="G30" s="14">
        <f>IF(AND(ISNUMBER(D30),ISNUMBER(E30),F30&lt;&gt;0),ABS(D30-E30)/(D30+E30)*100,"")</f>
        <v/>
      </c>
      <c r="H30" s="15">
        <f>IF(ISNUMBER(A30),IF(AND(ISNUMBER(D30),ISNUMBER(E30)),"OK","введи V1 и V2"),"—")</f>
        <v/>
      </c>
    </row>
    <row r="31">
      <c r="A31" s="12" t="n"/>
      <c r="B31" s="13">
        <f>IF(ISNUMBER(A31),(A31-0.0009*(101.3-Ввод!$B$1*0.133322)*273)/(1+0.0009*(101.3-Ввод!$B$1*0.133322)),"")</f>
        <v/>
      </c>
      <c r="C31" s="14">
        <f>IF(ISNUMBER(A31),B31+0.0009*(101.3-Ввод!$B$1*0.133322)*(273+B31)-A31,"")</f>
        <v/>
      </c>
      <c r="D31" s="12" t="n"/>
      <c r="E31" s="12" t="n"/>
      <c r="F31" s="13">
        <f>IF(AND(ISNUMBER(D31),ISNUMBER(E31)),(D31+E31)/2/Ввод!$G$1*100,"")</f>
        <v/>
      </c>
      <c r="G31" s="14">
        <f>IF(AND(ISNUMBER(D31),ISNUMBER(E31),F31&lt;&gt;0),ABS(D31-E31)/(D31+E31)*100,"")</f>
        <v/>
      </c>
      <c r="H31" s="15">
        <f>IF(ISNUMBER(A31),IF(AND(ISNUMBER(D31),ISNUMBER(E31)),"OK","введи V1 и V2"),"—")</f>
        <v/>
      </c>
    </row>
    <row r="32">
      <c r="A32" s="12" t="n"/>
      <c r="B32" s="13">
        <f>IF(ISNUMBER(A32),(A32-0.0009*(101.3-Ввод!$B$1*0.133322)*273)/(1+0.0009*(101.3-Ввод!$B$1*0.133322)),"")</f>
        <v/>
      </c>
      <c r="C32" s="14">
        <f>IF(ISNUMBER(A32),B32+0.0009*(101.3-Ввод!$B$1*0.133322)*(273+B32)-A32,"")</f>
        <v/>
      </c>
      <c r="D32" s="12" t="n"/>
      <c r="E32" s="12" t="n"/>
      <c r="F32" s="13">
        <f>IF(AND(ISNUMBER(D32),ISNUMBER(E32)),(D32+E32)/2/Ввод!$G$1*100,"")</f>
        <v/>
      </c>
      <c r="G32" s="14">
        <f>IF(AND(ISNUMBER(D32),ISNUMBER(E32),F32&lt;&gt;0),ABS(D32-E32)/(D32+E32)*100,"")</f>
        <v/>
      </c>
      <c r="H32" s="15">
        <f>IF(ISNUMBER(A32),IF(AND(ISNUMBER(D32),ISNUMBER(E32)),"OK","введи V1 и V2"),"—")</f>
        <v/>
      </c>
    </row>
    <row r="33">
      <c r="A33" s="12" t="n"/>
      <c r="B33" s="13">
        <f>IF(ISNUMBER(A33),(A33-0.0009*(101.3-Ввод!$B$1*0.133322)*273)/(1+0.0009*(101.3-Ввод!$B$1*0.133322)),"")</f>
        <v/>
      </c>
      <c r="C33" s="14">
        <f>IF(ISNUMBER(A33),B33+0.0009*(101.3-Ввод!$B$1*0.133322)*(273+B33)-A33,"")</f>
        <v/>
      </c>
      <c r="D33" s="12" t="n"/>
      <c r="E33" s="12" t="n"/>
      <c r="F33" s="13">
        <f>IF(AND(ISNUMBER(D33),ISNUMBER(E33)),(D33+E33)/2/Ввод!$G$1*100,"")</f>
        <v/>
      </c>
      <c r="G33" s="14">
        <f>IF(AND(ISNUMBER(D33),ISNUMBER(E33),F33&lt;&gt;0),ABS(D33-E33)/(D33+E33)*100,"")</f>
        <v/>
      </c>
      <c r="H33" s="15">
        <f>IF(ISNUMBER(A33),IF(AND(ISNUMBER(D33),ISNUMBER(E33)),"OK","введи V1 и V2"),"—")</f>
        <v/>
      </c>
    </row>
    <row r="34">
      <c r="A34" s="12" t="n"/>
      <c r="B34" s="13">
        <f>IF(ISNUMBER(A34),(A34-0.0009*(101.3-Ввод!$B$1*0.133322)*273)/(1+0.0009*(101.3-Ввод!$B$1*0.133322)),"")</f>
        <v/>
      </c>
      <c r="C34" s="14">
        <f>IF(ISNUMBER(A34),B34+0.0009*(101.3-Ввод!$B$1*0.133322)*(273+B34)-A34,"")</f>
        <v/>
      </c>
      <c r="D34" s="12" t="n"/>
      <c r="E34" s="12" t="n"/>
      <c r="F34" s="13">
        <f>IF(AND(ISNUMBER(D34),ISNUMBER(E34)),(D34+E34)/2/Ввод!$G$1*100,"")</f>
        <v/>
      </c>
      <c r="G34" s="14">
        <f>IF(AND(ISNUMBER(D34),ISNUMBER(E34),F34&lt;&gt;0),ABS(D34-E34)/(D34+E34)*100,"")</f>
        <v/>
      </c>
      <c r="H34" s="15">
        <f>IF(ISNUMBER(A34),IF(AND(ISNUMBER(D34),ISNUMBER(E34)),"OK","введи V1 и V2"),"—")</f>
        <v/>
      </c>
    </row>
    <row r="35">
      <c r="A35" s="12" t="n"/>
      <c r="B35" s="13">
        <f>IF(ISNUMBER(A35),(A35-0.0009*(101.3-Ввод!$B$1*0.133322)*273)/(1+0.0009*(101.3-Ввод!$B$1*0.133322)),"")</f>
        <v/>
      </c>
      <c r="C35" s="14">
        <f>IF(ISNUMBER(A35),B35+0.0009*(101.3-Ввод!$B$1*0.133322)*(273+B35)-A35,"")</f>
        <v/>
      </c>
      <c r="D35" s="12" t="n"/>
      <c r="E35" s="12" t="n"/>
      <c r="F35" s="13">
        <f>IF(AND(ISNUMBER(D35),ISNUMBER(E35)),(D35+E35)/2/Ввод!$G$1*100,"")</f>
        <v/>
      </c>
      <c r="G35" s="14">
        <f>IF(AND(ISNUMBER(D35),ISNUMBER(E35),F35&lt;&gt;0),ABS(D35-E35)/(D35+E35)*100,"")</f>
        <v/>
      </c>
      <c r="H35" s="15">
        <f>IF(ISNUMBER(A35),IF(AND(ISNUMBER(D35),ISNUMBER(E35)),"OK","введи V1 и V2"),"—")</f>
        <v/>
      </c>
    </row>
    <row r="36">
      <c r="A36" s="12" t="n"/>
      <c r="B36" s="13">
        <f>IF(ISNUMBER(A36),(A36-0.0009*(101.3-Ввод!$B$1*0.133322)*273)/(1+0.0009*(101.3-Ввод!$B$1*0.133322)),"")</f>
        <v/>
      </c>
      <c r="C36" s="14">
        <f>IF(ISNUMBER(A36),B36+0.0009*(101.3-Ввод!$B$1*0.133322)*(273+B36)-A36,"")</f>
        <v/>
      </c>
      <c r="D36" s="12" t="n"/>
      <c r="E36" s="12" t="n"/>
      <c r="F36" s="13">
        <f>IF(AND(ISNUMBER(D36),ISNUMBER(E36)),(D36+E36)/2/Ввод!$G$1*100,"")</f>
        <v/>
      </c>
      <c r="G36" s="14">
        <f>IF(AND(ISNUMBER(D36),ISNUMBER(E36),F36&lt;&gt;0),ABS(D36-E36)/(D36+E36)*100,"")</f>
        <v/>
      </c>
      <c r="H36" s="15">
        <f>IF(ISNUMBER(A36),IF(AND(ISNUMBER(D36),ISNUMBER(E36)),"OK","введи V1 и V2"),"—")</f>
        <v/>
      </c>
    </row>
    <row r="37">
      <c r="A37" s="12" t="n"/>
      <c r="B37" s="13">
        <f>IF(ISNUMBER(A37),(A37-0.0009*(101.3-Ввод!$B$1*0.133322)*273)/(1+0.0009*(101.3-Ввод!$B$1*0.133322)),"")</f>
        <v/>
      </c>
      <c r="C37" s="14">
        <f>IF(ISNUMBER(A37),B37+0.0009*(101.3-Ввод!$B$1*0.133322)*(273+B37)-A37,"")</f>
        <v/>
      </c>
      <c r="D37" s="12" t="n"/>
      <c r="E37" s="12" t="n"/>
      <c r="F37" s="13">
        <f>IF(AND(ISNUMBER(D37),ISNUMBER(E37)),(D37+E37)/2/Ввод!$G$1*100,"")</f>
        <v/>
      </c>
      <c r="G37" s="14">
        <f>IF(AND(ISNUMBER(D37),ISNUMBER(E37),F37&lt;&gt;0),ABS(D37-E37)/(D37+E37)*100,"")</f>
        <v/>
      </c>
      <c r="H37" s="15">
        <f>IF(ISNUMBER(A37),IF(AND(ISNUMBER(D37),ISNUMBER(E37)),"OK","введи V1 и V2"),"—")</f>
        <v/>
      </c>
    </row>
    <row r="38">
      <c r="A38" s="12" t="n"/>
      <c r="B38" s="13">
        <f>IF(ISNUMBER(A38),(A38-0.0009*(101.3-Ввод!$B$1*0.133322)*273)/(1+0.0009*(101.3-Ввод!$B$1*0.133322)),"")</f>
        <v/>
      </c>
      <c r="C38" s="14">
        <f>IF(ISNUMBER(A38),B38+0.0009*(101.3-Ввод!$B$1*0.133322)*(273+B38)-A38,"")</f>
        <v/>
      </c>
      <c r="D38" s="12" t="n"/>
      <c r="E38" s="12" t="n"/>
      <c r="F38" s="13">
        <f>IF(AND(ISNUMBER(D38),ISNUMBER(E38)),(D38+E38)/2/Ввод!$G$1*100,"")</f>
        <v/>
      </c>
      <c r="G38" s="14">
        <f>IF(AND(ISNUMBER(D38),ISNUMBER(E38),F38&lt;&gt;0),ABS(D38-E38)/(D38+E38)*100,"")</f>
        <v/>
      </c>
      <c r="H38" s="15">
        <f>IF(ISNUMBER(A38),IF(AND(ISNUMBER(D38),ISNUMBER(E38)),"OK","введи V1 и V2"),"—")</f>
        <v/>
      </c>
    </row>
    <row r="39">
      <c r="A39" s="12" t="n"/>
      <c r="B39" s="13">
        <f>IF(ISNUMBER(A39),(A39-0.0009*(101.3-Ввод!$B$1*0.133322)*273)/(1+0.0009*(101.3-Ввод!$B$1*0.133322)),"")</f>
        <v/>
      </c>
      <c r="C39" s="14">
        <f>IF(ISNUMBER(A39),B39+0.0009*(101.3-Ввод!$B$1*0.133322)*(273+B39)-A39,"")</f>
        <v/>
      </c>
      <c r="D39" s="12" t="n"/>
      <c r="E39" s="12" t="n"/>
      <c r="F39" s="13">
        <f>IF(AND(ISNUMBER(D39),ISNUMBER(E39)),(D39+E39)/2/Ввод!$G$1*100,"")</f>
        <v/>
      </c>
      <c r="G39" s="14">
        <f>IF(AND(ISNUMBER(D39),ISNUMBER(E39),F39&lt;&gt;0),ABS(D39-E39)/(D39+E39)*100,"")</f>
        <v/>
      </c>
      <c r="H39" s="15">
        <f>IF(ISNUMBER(A39),IF(AND(ISNUMBER(D39),ISNUMBER(E39)),"OK","введи V1 и V2"),"—")</f>
        <v/>
      </c>
    </row>
    <row r="40">
      <c r="A40" s="12" t="n"/>
      <c r="B40" s="13">
        <f>IF(ISNUMBER(A40),(A40-0.0009*(101.3-Ввод!$B$1*0.133322)*273)/(1+0.0009*(101.3-Ввод!$B$1*0.133322)),"")</f>
        <v/>
      </c>
      <c r="C40" s="14">
        <f>IF(ISNUMBER(A40),B40+0.0009*(101.3-Ввод!$B$1*0.133322)*(273+B40)-A40,"")</f>
        <v/>
      </c>
      <c r="D40" s="12" t="n"/>
      <c r="E40" s="12" t="n"/>
      <c r="F40" s="13">
        <f>IF(AND(ISNUMBER(D40),ISNUMBER(E40)),(D40+E40)/2/Ввод!$G$1*100,"")</f>
        <v/>
      </c>
      <c r="G40" s="14">
        <f>IF(AND(ISNUMBER(D40),ISNUMBER(E40),F40&lt;&gt;0),ABS(D40-E40)/(D40+E40)*100,"")</f>
        <v/>
      </c>
      <c r="H40" s="15">
        <f>IF(ISNUMBER(A40),IF(AND(ISNUMBER(D40),ISNUMBER(E40)),"OK","введи V1 и V2"),"—")</f>
        <v/>
      </c>
    </row>
    <row r="41">
      <c r="A41" s="12" t="n"/>
      <c r="B41" s="13">
        <f>IF(ISNUMBER(A41),(A41-0.0009*(101.3-Ввод!$B$1*0.133322)*273)/(1+0.0009*(101.3-Ввод!$B$1*0.133322)),"")</f>
        <v/>
      </c>
      <c r="C41" s="14">
        <f>IF(ISNUMBER(A41),B41+0.0009*(101.3-Ввод!$B$1*0.133322)*(273+B41)-A41,"")</f>
        <v/>
      </c>
      <c r="D41" s="12" t="n"/>
      <c r="E41" s="12" t="n"/>
      <c r="F41" s="13">
        <f>IF(AND(ISNUMBER(D41),ISNUMBER(E41)),(D41+E41)/2/Ввод!$G$1*100,"")</f>
        <v/>
      </c>
      <c r="G41" s="14">
        <f>IF(AND(ISNUMBER(D41),ISNUMBER(E41),F41&lt;&gt;0),ABS(D41-E41)/(D41+E41)*100,"")</f>
        <v/>
      </c>
      <c r="H41" s="15">
        <f>IF(ISNUMBER(A41),IF(AND(ISNUMBER(D41),ISNUMBER(E41)),"OK","введи V1 и V2"),"—")</f>
        <v/>
      </c>
    </row>
    <row r="42">
      <c r="A42" s="12" t="n"/>
      <c r="B42" s="13">
        <f>IF(ISNUMBER(A42),(A42-0.0009*(101.3-Ввод!$B$1*0.133322)*273)/(1+0.0009*(101.3-Ввод!$B$1*0.133322)),"")</f>
        <v/>
      </c>
      <c r="C42" s="14">
        <f>IF(ISNUMBER(A42),B42+0.0009*(101.3-Ввод!$B$1*0.133322)*(273+B42)-A42,"")</f>
        <v/>
      </c>
      <c r="D42" s="12" t="n"/>
      <c r="E42" s="12" t="n"/>
      <c r="F42" s="13">
        <f>IF(AND(ISNUMBER(D42),ISNUMBER(E42)),(D42+E42)/2/Ввод!$G$1*100,"")</f>
        <v/>
      </c>
      <c r="G42" s="14">
        <f>IF(AND(ISNUMBER(D42),ISNUMBER(E42),F42&lt;&gt;0),ABS(D42-E42)/(D42+E42)*100,"")</f>
        <v/>
      </c>
      <c r="H42" s="15">
        <f>IF(ISNUMBER(A42),IF(AND(ISNUMBER(D42),ISNUMBER(E42)),"OK","введи V1 и V2"),"—")</f>
        <v/>
      </c>
    </row>
    <row r="43">
      <c r="A43" s="12" t="n"/>
      <c r="B43" s="13">
        <f>IF(ISNUMBER(A43),(A43-0.0009*(101.3-Ввод!$B$1*0.133322)*273)/(1+0.0009*(101.3-Ввод!$B$1*0.133322)),"")</f>
        <v/>
      </c>
      <c r="C43" s="14">
        <f>IF(ISNUMBER(A43),B43+0.0009*(101.3-Ввод!$B$1*0.133322)*(273+B43)-A43,"")</f>
        <v/>
      </c>
      <c r="D43" s="12" t="n"/>
      <c r="E43" s="12" t="n"/>
      <c r="F43" s="13">
        <f>IF(AND(ISNUMBER(D43),ISNUMBER(E43)),(D43+E43)/2/Ввод!$G$1*100,"")</f>
        <v/>
      </c>
      <c r="G43" s="14">
        <f>IF(AND(ISNUMBER(D43),ISNUMBER(E43),F43&lt;&gt;0),ABS(D43-E43)/(D43+E43)*100,"")</f>
        <v/>
      </c>
      <c r="H43" s="15">
        <f>IF(ISNUMBER(A43),IF(AND(ISNUMBER(D43),ISNUMBER(E43)),"OK","введи V1 и V2"),"—")</f>
        <v/>
      </c>
    </row>
    <row r="44">
      <c r="A44" s="12" t="n"/>
      <c r="B44" s="13">
        <f>IF(ISNUMBER(A44),(A44-0.0009*(101.3-Ввод!$B$1*0.133322)*273)/(1+0.0009*(101.3-Ввод!$B$1*0.133322)),"")</f>
        <v/>
      </c>
      <c r="C44" s="14">
        <f>IF(ISNUMBER(A44),B44+0.0009*(101.3-Ввод!$B$1*0.133322)*(273+B44)-A44,"")</f>
        <v/>
      </c>
      <c r="D44" s="12" t="n"/>
      <c r="E44" s="12" t="n"/>
      <c r="F44" s="13">
        <f>IF(AND(ISNUMBER(D44),ISNUMBER(E44)),(D44+E44)/2/Ввод!$G$1*100,"")</f>
        <v/>
      </c>
      <c r="G44" s="14">
        <f>IF(AND(ISNUMBER(D44),ISNUMBER(E44),F44&lt;&gt;0),ABS(D44-E44)/(D44+E44)*100,"")</f>
        <v/>
      </c>
      <c r="H44" s="15">
        <f>IF(ISNUMBER(A44),IF(AND(ISNUMBER(D44),ISNUMBER(E44)),"OK","введи V1 и V2"),"—")</f>
        <v/>
      </c>
    </row>
    <row r="45">
      <c r="A45" s="12" t="n"/>
      <c r="B45" s="13">
        <f>IF(ISNUMBER(A45),(A45-0.0009*(101.3-Ввод!$B$1*0.133322)*273)/(1+0.0009*(101.3-Ввод!$B$1*0.133322)),"")</f>
        <v/>
      </c>
      <c r="C45" s="14">
        <f>IF(ISNUMBER(A45),B45+0.0009*(101.3-Ввод!$B$1*0.133322)*(273+B45)-A45,"")</f>
        <v/>
      </c>
      <c r="D45" s="12" t="n"/>
      <c r="E45" s="12" t="n"/>
      <c r="F45" s="13">
        <f>IF(AND(ISNUMBER(D45),ISNUMBER(E45)),(D45+E45)/2/Ввод!$G$1*100,"")</f>
        <v/>
      </c>
      <c r="G45" s="14">
        <f>IF(AND(ISNUMBER(D45),ISNUMBER(E45),F45&lt;&gt;0),ABS(D45-E45)/(D45+E45)*100,"")</f>
        <v/>
      </c>
      <c r="H45" s="15">
        <f>IF(ISNUMBER(A45),IF(AND(ISNUMBER(D45),ISNUMBER(E45)),"OK","введи V1 и V2"),"—")</f>
        <v/>
      </c>
    </row>
    <row r="46">
      <c r="A46" s="12" t="n"/>
      <c r="B46" s="13">
        <f>IF(ISNUMBER(A46),(A46-0.0009*(101.3-Ввод!$B$1*0.133322)*273)/(1+0.0009*(101.3-Ввод!$B$1*0.133322)),"")</f>
        <v/>
      </c>
      <c r="C46" s="14">
        <f>IF(ISNUMBER(A46),B46+0.0009*(101.3-Ввод!$B$1*0.133322)*(273+B46)-A46,"")</f>
        <v/>
      </c>
      <c r="D46" s="12" t="n"/>
      <c r="E46" s="12" t="n"/>
      <c r="F46" s="13">
        <f>IF(AND(ISNUMBER(D46),ISNUMBER(E46)),(D46+E46)/2/Ввод!$G$1*100,"")</f>
        <v/>
      </c>
      <c r="G46" s="14">
        <f>IF(AND(ISNUMBER(D46),ISNUMBER(E46),F46&lt;&gt;0),ABS(D46-E46)/(D46+E46)*100,"")</f>
        <v/>
      </c>
      <c r="H46" s="15">
        <f>IF(ISNUMBER(A46),IF(AND(ISNUMBER(D46),ISNUMBER(E46)),"OK","введи V1 и V2"),"—")</f>
        <v/>
      </c>
    </row>
    <row r="47">
      <c r="A47" s="12" t="n"/>
      <c r="B47" s="13">
        <f>IF(ISNUMBER(A47),(A47-0.0009*(101.3-Ввод!$B$1*0.133322)*273)/(1+0.0009*(101.3-Ввод!$B$1*0.133322)),"")</f>
        <v/>
      </c>
      <c r="C47" s="14">
        <f>IF(ISNUMBER(A47),B47+0.0009*(101.3-Ввод!$B$1*0.133322)*(273+B47)-A47,"")</f>
        <v/>
      </c>
      <c r="D47" s="12" t="n"/>
      <c r="E47" s="12" t="n"/>
      <c r="F47" s="13">
        <f>IF(AND(ISNUMBER(D47),ISNUMBER(E47)),(D47+E47)/2/Ввод!$G$1*100,"")</f>
        <v/>
      </c>
      <c r="G47" s="14">
        <f>IF(AND(ISNUMBER(D47),ISNUMBER(E47),F47&lt;&gt;0),ABS(D47-E47)/(D47+E47)*100,"")</f>
        <v/>
      </c>
      <c r="H47" s="15">
        <f>IF(ISNUMBER(A47),IF(AND(ISNUMBER(D47),ISNUMBER(E47)),"OK","введи V1 и V2"),"—")</f>
        <v/>
      </c>
    </row>
    <row r="48">
      <c r="A48" s="16" t="inlineStr">
        <is>
          <t>КАК ПОЛЬЗОВАТЬСЯ ВЕТКОЙ 2 (НЕЗАВИСИМАЯ, «заданы температуры»): в колонке A (T_НД, зелёная) введите температуры из НД числами, например 150, 160, 250. Обратная задача Янга: T_фикс = (T_цель − k·273)/(1+k), k = 0.0009*(101.3-Ввод!$B$1*0.133322). Пример: P=748, T_цель=150 → k=0.00144 → T_фикс=149.4≈149.5 (фиксировать на градус ниже). C_проверка≈0 — пересчёт верен. Проведите дистилляцию, фиксируя T_фикс, и вбейте объёмы ДВУХ ПАРАЛЛЕЛЕЙ: V1 (D) и V2 (E). Vср, % = (V1+V2)/2 / Ввод!$G$1 * 100. По точкам (Vср → T_НД) строятся ВТОРОЙ график и ВТОРАЯ модель. Ветка 1 (заданы объёмы, лист «Ввод») и Ветка 2 НЕЗАВИСИМЫ.</t>
        </is>
      </c>
    </row>
    <row r="50">
      <c r="A50" s="17" t="inlineStr">
        <is>
          <t>АППРОКСИМАЦИЯ КРИВОЙ ВЕТКИ 1 КУБИЧЕСКИМ ПОЛИНОМОМ (T_corr = a3·V³+a2·V²+a1·V+a0; кривая НЕ линейна):</t>
        </is>
      </c>
    </row>
    <row r="51">
      <c r="A51" s="11" t="inlineStr">
        <is>
          <t>a3 (x³)</t>
        </is>
      </c>
      <c r="B51" s="11" t="inlineStr">
        <is>
          <t>a2 (x²)</t>
        </is>
      </c>
      <c r="C51" s="11" t="inlineStr">
        <is>
          <t>a1 (x)</t>
        </is>
      </c>
      <c r="D51" s="11" t="inlineStr">
        <is>
          <t>a0</t>
        </is>
      </c>
    </row>
    <row r="52">
      <c r="A52" s="18">
        <f t="array" ref="A52:D52">LINEST(F$2:F$22,A$2:A$22^{1,2,3})</f>
        <v/>
      </c>
      <c r="B52" s="18" t="n"/>
      <c r="C52" s="18" t="n"/>
      <c r="D52" s="14" t="n"/>
    </row>
    <row r="53">
      <c r="A53" s="11" t="inlineStr">
        <is>
          <t>V, %</t>
        </is>
      </c>
      <c r="B53" s="11" t="inlineStr">
        <is>
          <t>T_corr (эксп.), °C</t>
        </is>
      </c>
      <c r="C53" s="11" t="inlineStr">
        <is>
          <t>T_полином, °C</t>
        </is>
      </c>
      <c r="D53" s="11" t="inlineStr">
        <is>
          <t>Остаток (эксп−полином)</t>
        </is>
      </c>
    </row>
    <row r="54">
      <c r="A54" s="15">
        <f>A2</f>
        <v/>
      </c>
      <c r="B54" s="13">
        <f>F2</f>
        <v/>
      </c>
      <c r="C54" s="13">
        <f>IF(ISNUMBER(F2),$A$52*A54^3+$B$52*A54^2+$C$52*A54+$D$52,"")</f>
        <v/>
      </c>
      <c r="D54" s="13">
        <f>IF(AND(ISNUMBER(F2),ISNUMBER(C54)),F2-C54,"")</f>
        <v/>
      </c>
    </row>
    <row r="55">
      <c r="A55" s="15">
        <f>A3</f>
        <v/>
      </c>
      <c r="B55" s="13">
        <f>F3</f>
        <v/>
      </c>
      <c r="C55" s="13">
        <f>IF(ISNUMBER(F3),$A$52*A55^3+$B$52*A55^2+$C$52*A55+$D$52,"")</f>
        <v/>
      </c>
      <c r="D55" s="13">
        <f>IF(AND(ISNUMBER(F3),ISNUMBER(C55)),F3-C55,"")</f>
        <v/>
      </c>
    </row>
    <row r="56">
      <c r="A56" s="15">
        <f>A4</f>
        <v/>
      </c>
      <c r="B56" s="13">
        <f>F4</f>
        <v/>
      </c>
      <c r="C56" s="13">
        <f>IF(ISNUMBER(F4),$A$52*A56^3+$B$52*A56^2+$C$52*A56+$D$52,"")</f>
        <v/>
      </c>
      <c r="D56" s="13">
        <f>IF(AND(ISNUMBER(F4),ISNUMBER(C56)),F4-C56,"")</f>
        <v/>
      </c>
    </row>
    <row r="57">
      <c r="A57" s="15">
        <f>A5</f>
        <v/>
      </c>
      <c r="B57" s="13">
        <f>F5</f>
        <v/>
      </c>
      <c r="C57" s="13">
        <f>IF(ISNUMBER(F5),$A$52*A57^3+$B$52*A57^2+$C$52*A57+$D$52,"")</f>
        <v/>
      </c>
      <c r="D57" s="13">
        <f>IF(AND(ISNUMBER(F5),ISNUMBER(C57)),F5-C57,"")</f>
        <v/>
      </c>
    </row>
    <row r="58">
      <c r="A58" s="15">
        <f>A6</f>
        <v/>
      </c>
      <c r="B58" s="13">
        <f>F6</f>
        <v/>
      </c>
      <c r="C58" s="13">
        <f>IF(ISNUMBER(F6),$A$52*A58^3+$B$52*A58^2+$C$52*A58+$D$52,"")</f>
        <v/>
      </c>
      <c r="D58" s="13">
        <f>IF(AND(ISNUMBER(F6),ISNUMBER(C58)),F6-C58,"")</f>
        <v/>
      </c>
    </row>
    <row r="59">
      <c r="A59" s="15">
        <f>A7</f>
        <v/>
      </c>
      <c r="B59" s="13">
        <f>F7</f>
        <v/>
      </c>
      <c r="C59" s="13">
        <f>IF(ISNUMBER(F7),$A$52*A59^3+$B$52*A59^2+$C$52*A59+$D$52,"")</f>
        <v/>
      </c>
      <c r="D59" s="13">
        <f>IF(AND(ISNUMBER(F7),ISNUMBER(C59)),F7-C59,"")</f>
        <v/>
      </c>
    </row>
    <row r="60">
      <c r="A60" s="15">
        <f>A8</f>
        <v/>
      </c>
      <c r="B60" s="13">
        <f>F8</f>
        <v/>
      </c>
      <c r="C60" s="13">
        <f>IF(ISNUMBER(F8),$A$52*A60^3+$B$52*A60^2+$C$52*A60+$D$52,"")</f>
        <v/>
      </c>
      <c r="D60" s="13">
        <f>IF(AND(ISNUMBER(F8),ISNUMBER(C60)),F8-C60,"")</f>
        <v/>
      </c>
    </row>
    <row r="61">
      <c r="A61" s="15">
        <f>A9</f>
        <v/>
      </c>
      <c r="B61" s="13">
        <f>F9</f>
        <v/>
      </c>
      <c r="C61" s="13">
        <f>IF(ISNUMBER(F9),$A$52*A61^3+$B$52*A61^2+$C$52*A61+$D$52,"")</f>
        <v/>
      </c>
      <c r="D61" s="13">
        <f>IF(AND(ISNUMBER(F9),ISNUMBER(C61)),F9-C61,"")</f>
        <v/>
      </c>
    </row>
    <row r="62">
      <c r="A62" s="15">
        <f>A10</f>
        <v/>
      </c>
      <c r="B62" s="13">
        <f>F10</f>
        <v/>
      </c>
      <c r="C62" s="13">
        <f>IF(ISNUMBER(F10),$A$52*A62^3+$B$52*A62^2+$C$52*A62+$D$52,"")</f>
        <v/>
      </c>
      <c r="D62" s="13">
        <f>IF(AND(ISNUMBER(F10),ISNUMBER(C62)),F10-C62,"")</f>
        <v/>
      </c>
    </row>
    <row r="63">
      <c r="A63" s="15">
        <f>A11</f>
        <v/>
      </c>
      <c r="B63" s="13">
        <f>F11</f>
        <v/>
      </c>
      <c r="C63" s="13">
        <f>IF(ISNUMBER(F11),$A$52*A63^3+$B$52*A63^2+$C$52*A63+$D$52,"")</f>
        <v/>
      </c>
      <c r="D63" s="13">
        <f>IF(AND(ISNUMBER(F11),ISNUMBER(C63)),F11-C63,"")</f>
        <v/>
      </c>
    </row>
    <row r="64">
      <c r="A64" s="15">
        <f>A12</f>
        <v/>
      </c>
      <c r="B64" s="13">
        <f>F12</f>
        <v/>
      </c>
      <c r="C64" s="13">
        <f>IF(ISNUMBER(F12),$A$52*A64^3+$B$52*A64^2+$C$52*A64+$D$52,"")</f>
        <v/>
      </c>
      <c r="D64" s="13">
        <f>IF(AND(ISNUMBER(F12),ISNUMBER(C64)),F12-C64,"")</f>
        <v/>
      </c>
    </row>
    <row r="65">
      <c r="A65" s="15">
        <f>A13</f>
        <v/>
      </c>
      <c r="B65" s="13">
        <f>F13</f>
        <v/>
      </c>
      <c r="C65" s="13">
        <f>IF(ISNUMBER(F13),$A$52*A65^3+$B$52*A65^2+$C$52*A65+$D$52,"")</f>
        <v/>
      </c>
      <c r="D65" s="13">
        <f>IF(AND(ISNUMBER(F13),ISNUMBER(C65)),F13-C65,"")</f>
        <v/>
      </c>
    </row>
    <row r="66">
      <c r="A66" s="15">
        <f>A14</f>
        <v/>
      </c>
      <c r="B66" s="13">
        <f>F14</f>
        <v/>
      </c>
      <c r="C66" s="13">
        <f>IF(ISNUMBER(F14),$A$52*A66^3+$B$52*A66^2+$C$52*A66+$D$52,"")</f>
        <v/>
      </c>
      <c r="D66" s="13">
        <f>IF(AND(ISNUMBER(F14),ISNUMBER(C66)),F14-C66,"")</f>
        <v/>
      </c>
    </row>
    <row r="67">
      <c r="A67" s="15">
        <f>A15</f>
        <v/>
      </c>
      <c r="B67" s="13">
        <f>F15</f>
        <v/>
      </c>
      <c r="C67" s="13">
        <f>IF(ISNUMBER(F15),$A$52*A67^3+$B$52*A67^2+$C$52*A67+$D$52,"")</f>
        <v/>
      </c>
      <c r="D67" s="13">
        <f>IF(AND(ISNUMBER(F15),ISNUMBER(C67)),F15-C67,"")</f>
        <v/>
      </c>
    </row>
    <row r="68">
      <c r="A68" s="15">
        <f>A16</f>
        <v/>
      </c>
      <c r="B68" s="13">
        <f>F16</f>
        <v/>
      </c>
      <c r="C68" s="13">
        <f>IF(ISNUMBER(F16),$A$52*A68^3+$B$52*A68^2+$C$52*A68+$D$52,"")</f>
        <v/>
      </c>
      <c r="D68" s="13">
        <f>IF(AND(ISNUMBER(F16),ISNUMBER(C68)),F16-C68,"")</f>
        <v/>
      </c>
    </row>
    <row r="69">
      <c r="A69" s="15">
        <f>A17</f>
        <v/>
      </c>
      <c r="B69" s="13">
        <f>F17</f>
        <v/>
      </c>
      <c r="C69" s="13">
        <f>IF(ISNUMBER(F17),$A$52*A69^3+$B$52*A69^2+$C$52*A69+$D$52,"")</f>
        <v/>
      </c>
      <c r="D69" s="13">
        <f>IF(AND(ISNUMBER(F17),ISNUMBER(C69)),F17-C69,"")</f>
        <v/>
      </c>
    </row>
    <row r="70">
      <c r="A70" s="15">
        <f>A18</f>
        <v/>
      </c>
      <c r="B70" s="13">
        <f>F18</f>
        <v/>
      </c>
      <c r="C70" s="13">
        <f>IF(ISNUMBER(F18),$A$52*A70^3+$B$52*A70^2+$C$52*A70+$D$52,"")</f>
        <v/>
      </c>
      <c r="D70" s="13">
        <f>IF(AND(ISNUMBER(F18),ISNUMBER(C70)),F18-C70,"")</f>
        <v/>
      </c>
    </row>
    <row r="71">
      <c r="A71" s="15">
        <f>A19</f>
        <v/>
      </c>
      <c r="B71" s="13">
        <f>F19</f>
        <v/>
      </c>
      <c r="C71" s="13">
        <f>IF(ISNUMBER(F19),$A$52*A71^3+$B$52*A71^2+$C$52*A71+$D$52,"")</f>
        <v/>
      </c>
      <c r="D71" s="13">
        <f>IF(AND(ISNUMBER(F19),ISNUMBER(C71)),F19-C71,"")</f>
        <v/>
      </c>
    </row>
    <row r="72">
      <c r="A72" s="15">
        <f>A20</f>
        <v/>
      </c>
      <c r="B72" s="13">
        <f>F20</f>
        <v/>
      </c>
      <c r="C72" s="13">
        <f>IF(ISNUMBER(F20),$A$52*A72^3+$B$52*A72^2+$C$52*A72+$D$52,"")</f>
        <v/>
      </c>
      <c r="D72" s="13">
        <f>IF(AND(ISNUMBER(F20),ISNUMBER(C72)),F20-C72,"")</f>
        <v/>
      </c>
    </row>
    <row r="73">
      <c r="A73" s="15">
        <f>A21</f>
        <v/>
      </c>
      <c r="B73" s="13">
        <f>F21</f>
        <v/>
      </c>
      <c r="C73" s="13">
        <f>IF(ISNUMBER(F21),$A$52*A73^3+$B$52*A73^2+$C$52*A73+$D$52,"")</f>
        <v/>
      </c>
      <c r="D73" s="13">
        <f>IF(AND(ISNUMBER(F21),ISNUMBER(C73)),F21-C73,"")</f>
        <v/>
      </c>
    </row>
    <row r="74">
      <c r="A74" s="15">
        <f>A22</f>
        <v/>
      </c>
      <c r="B74" s="13">
        <f>F22</f>
        <v/>
      </c>
      <c r="C74" s="13">
        <f>IF(ISNUMBER(F22),$A$52*A74^3+$B$52*A74^2+$C$52*A74+$D$52,"")</f>
        <v/>
      </c>
      <c r="D74" s="13">
        <f>IF(AND(ISNUMBER(F22),ISNUMBER(C74)),F22-C74,"")</f>
        <v/>
      </c>
    </row>
    <row r="75">
      <c r="A75" s="19" t="inlineStr">
        <is>
          <t>R² (эксп vs полином):</t>
        </is>
      </c>
      <c r="B75" s="20">
        <f>RSQ(B54:B74,C54:C74)</f>
        <v/>
      </c>
    </row>
    <row r="76">
      <c r="A76" s="16" t="inlineStr">
        <is>
          <t>Кубический полином подобран по ВСЕМ точкам кривой Ветки 1 (LINEST). Остатки показывают качество фитинга. Для S-образной кривой линейная и параболическая аппроксимации неприменимы (систематические остатки) — используется куб.</t>
        </is>
      </c>
    </row>
    <row r="78">
      <c r="A78" s="17" t="inlineStr">
        <is>
          <t>ВТОРАЯ МОДЕЛЬ (ВЕТКА 2): T_НД = a3·Vср³+a2·Vср²+a1·Vср+a0 по ФАКТИЧЕСКИ ВВЕДЁННЫМ точкам (Vср → T_НД), собранным без пустот:</t>
        </is>
      </c>
    </row>
    <row r="79">
      <c r="A79" s="11" t="inlineStr">
        <is>
          <t>a3 (x³)</t>
        </is>
      </c>
      <c r="B79" s="11" t="inlineStr">
        <is>
          <t>a2 (x²)</t>
        </is>
      </c>
      <c r="C79" s="11" t="inlineStr">
        <is>
          <t>a1 (x)</t>
        </is>
      </c>
      <c r="D79" s="11" t="inlineStr">
        <is>
          <t>a0</t>
        </is>
      </c>
    </row>
    <row r="80">
      <c r="A80" s="18">
        <f t="array" ref="A80:D80">LINEST('График'!B29:B49,'График'!A29:A49^{1,2,3})</f>
        <v/>
      </c>
      <c r="B80" s="18" t="n"/>
      <c r="C80" s="18" t="n"/>
      <c r="D80" s="14" t="n"/>
    </row>
    <row r="81">
      <c r="A81" s="11" t="inlineStr">
        <is>
          <t>Vср, %</t>
        </is>
      </c>
      <c r="B81" s="11" t="inlineStr">
        <is>
          <t>T_НД, °C (из НД, при 760)</t>
        </is>
      </c>
      <c r="C81" s="11" t="inlineStr">
        <is>
          <t>T_полином, °C</t>
        </is>
      </c>
      <c r="D81" s="11" t="inlineStr">
        <is>
          <t>Остаток (T_НД−T_полином)</t>
        </is>
      </c>
    </row>
    <row r="82">
      <c r="A82" s="13">
        <f>'График'!A29</f>
        <v/>
      </c>
      <c r="B82" s="13">
        <f>'График'!B29</f>
        <v/>
      </c>
      <c r="C82" s="13">
        <f>IF(ISNUMBER('График'!B29),$A$80*'График'!A29^3+$B$80*'График'!A29^2+$C$80*'График'!A29+$D$80,"")</f>
        <v/>
      </c>
      <c r="D82" s="13">
        <f>IF(AND(ISNUMBER('График'!B29),ISNUMBER(C82)),'График'!B29-C82,"")</f>
        <v/>
      </c>
    </row>
    <row r="83">
      <c r="A83" s="13">
        <f>'График'!A30</f>
        <v/>
      </c>
      <c r="B83" s="13">
        <f>'График'!B30</f>
        <v/>
      </c>
      <c r="C83" s="13">
        <f>IF(ISNUMBER('График'!B30),$A$80*'График'!A30^3+$B$80*'График'!A30^2+$C$80*'График'!A30+$D$80,"")</f>
        <v/>
      </c>
      <c r="D83" s="13">
        <f>IF(AND(ISNUMBER('График'!B30),ISNUMBER(C83)),'График'!B30-C83,"")</f>
        <v/>
      </c>
    </row>
    <row r="84">
      <c r="A84" s="13">
        <f>'График'!A31</f>
        <v/>
      </c>
      <c r="B84" s="13">
        <f>'График'!B31</f>
        <v/>
      </c>
      <c r="C84" s="13">
        <f>IF(ISNUMBER('График'!B31),$A$80*'График'!A31^3+$B$80*'График'!A31^2+$C$80*'График'!A31+$D$80,"")</f>
        <v/>
      </c>
      <c r="D84" s="13">
        <f>IF(AND(ISNUMBER('График'!B31),ISNUMBER(C84)),'График'!B31-C84,"")</f>
        <v/>
      </c>
    </row>
    <row r="85">
      <c r="A85" s="13">
        <f>'График'!A32</f>
        <v/>
      </c>
      <c r="B85" s="13">
        <f>'График'!B32</f>
        <v/>
      </c>
      <c r="C85" s="13">
        <f>IF(ISNUMBER('График'!B32),$A$80*'График'!A32^3+$B$80*'График'!A32^2+$C$80*'График'!A32+$D$80,"")</f>
        <v/>
      </c>
      <c r="D85" s="13">
        <f>IF(AND(ISNUMBER('График'!B32),ISNUMBER(C85)),'График'!B32-C85,"")</f>
        <v/>
      </c>
    </row>
    <row r="86">
      <c r="A86" s="13">
        <f>'График'!A33</f>
        <v/>
      </c>
      <c r="B86" s="13">
        <f>'График'!B33</f>
        <v/>
      </c>
      <c r="C86" s="13">
        <f>IF(ISNUMBER('График'!B33),$A$80*'График'!A33^3+$B$80*'График'!A33^2+$C$80*'График'!A33+$D$80,"")</f>
        <v/>
      </c>
      <c r="D86" s="13">
        <f>IF(AND(ISNUMBER('График'!B33),ISNUMBER(C86)),'График'!B33-C86,"")</f>
        <v/>
      </c>
    </row>
    <row r="87">
      <c r="A87" s="13">
        <f>'График'!A34</f>
        <v/>
      </c>
      <c r="B87" s="13">
        <f>'График'!B34</f>
        <v/>
      </c>
      <c r="C87" s="13">
        <f>IF(ISNUMBER('График'!B34),$A$80*'График'!A34^3+$B$80*'График'!A34^2+$C$80*'График'!A34+$D$80,"")</f>
        <v/>
      </c>
      <c r="D87" s="13">
        <f>IF(AND(ISNUMBER('График'!B34),ISNUMBER(C87)),'График'!B34-C87,"")</f>
        <v/>
      </c>
    </row>
    <row r="88">
      <c r="A88" s="13">
        <f>'График'!A35</f>
        <v/>
      </c>
      <c r="B88" s="13">
        <f>'График'!B35</f>
        <v/>
      </c>
      <c r="C88" s="13">
        <f>IF(ISNUMBER('График'!B35),$A$80*'График'!A35^3+$B$80*'График'!A35^2+$C$80*'График'!A35+$D$80,"")</f>
        <v/>
      </c>
      <c r="D88" s="13">
        <f>IF(AND(ISNUMBER('График'!B35),ISNUMBER(C88)),'График'!B35-C88,"")</f>
        <v/>
      </c>
    </row>
    <row r="89">
      <c r="A89" s="13">
        <f>'График'!A36</f>
        <v/>
      </c>
      <c r="B89" s="13">
        <f>'График'!B36</f>
        <v/>
      </c>
      <c r="C89" s="13">
        <f>IF(ISNUMBER('График'!B36),$A$80*'График'!A36^3+$B$80*'График'!A36^2+$C$80*'График'!A36+$D$80,"")</f>
        <v/>
      </c>
      <c r="D89" s="13">
        <f>IF(AND(ISNUMBER('График'!B36),ISNUMBER(C89)),'График'!B36-C89,"")</f>
        <v/>
      </c>
    </row>
    <row r="90">
      <c r="A90" s="13">
        <f>'График'!A37</f>
        <v/>
      </c>
      <c r="B90" s="13">
        <f>'График'!B37</f>
        <v/>
      </c>
      <c r="C90" s="13">
        <f>IF(ISNUMBER('График'!B37),$A$80*'График'!A37^3+$B$80*'График'!A37^2+$C$80*'График'!A37+$D$80,"")</f>
        <v/>
      </c>
      <c r="D90" s="13">
        <f>IF(AND(ISNUMBER('График'!B37),ISNUMBER(C90)),'График'!B37-C90,"")</f>
        <v/>
      </c>
    </row>
    <row r="91">
      <c r="A91" s="13">
        <f>'График'!A38</f>
        <v/>
      </c>
      <c r="B91" s="13">
        <f>'График'!B38</f>
        <v/>
      </c>
      <c r="C91" s="13">
        <f>IF(ISNUMBER('График'!B38),$A$80*'График'!A38^3+$B$80*'График'!A38^2+$C$80*'График'!A38+$D$80,"")</f>
        <v/>
      </c>
      <c r="D91" s="13">
        <f>IF(AND(ISNUMBER('График'!B38),ISNUMBER(C91)),'График'!B38-C91,"")</f>
        <v/>
      </c>
    </row>
    <row r="92">
      <c r="A92" s="13">
        <f>'График'!A39</f>
        <v/>
      </c>
      <c r="B92" s="13">
        <f>'График'!B39</f>
        <v/>
      </c>
      <c r="C92" s="13">
        <f>IF(ISNUMBER('График'!B39),$A$80*'График'!A39^3+$B$80*'График'!A39^2+$C$80*'График'!A39+$D$80,"")</f>
        <v/>
      </c>
      <c r="D92" s="13">
        <f>IF(AND(ISNUMBER('График'!B39),ISNUMBER(C92)),'График'!B39-C92,"")</f>
        <v/>
      </c>
    </row>
    <row r="93">
      <c r="A93" s="13">
        <f>'График'!A40</f>
        <v/>
      </c>
      <c r="B93" s="13">
        <f>'График'!B40</f>
        <v/>
      </c>
      <c r="C93" s="13">
        <f>IF(ISNUMBER('График'!B40),$A$80*'График'!A40^3+$B$80*'График'!A40^2+$C$80*'График'!A40+$D$80,"")</f>
        <v/>
      </c>
      <c r="D93" s="13">
        <f>IF(AND(ISNUMBER('График'!B40),ISNUMBER(C93)),'График'!B40-C93,"")</f>
        <v/>
      </c>
    </row>
    <row r="94">
      <c r="A94" s="13">
        <f>'График'!A41</f>
        <v/>
      </c>
      <c r="B94" s="13">
        <f>'График'!B41</f>
        <v/>
      </c>
      <c r="C94" s="13">
        <f>IF(ISNUMBER('График'!B41),$A$80*'График'!A41^3+$B$80*'График'!A41^2+$C$80*'График'!A41+$D$80,"")</f>
        <v/>
      </c>
      <c r="D94" s="13">
        <f>IF(AND(ISNUMBER('График'!B41),ISNUMBER(C94)),'График'!B41-C94,"")</f>
        <v/>
      </c>
    </row>
    <row r="95">
      <c r="A95" s="13">
        <f>'График'!A42</f>
        <v/>
      </c>
      <c r="B95" s="13">
        <f>'График'!B42</f>
        <v/>
      </c>
      <c r="C95" s="13">
        <f>IF(ISNUMBER('График'!B42),$A$80*'График'!A42^3+$B$80*'График'!A42^2+$C$80*'График'!A42+$D$80,"")</f>
        <v/>
      </c>
      <c r="D95" s="13">
        <f>IF(AND(ISNUMBER('График'!B42),ISNUMBER(C95)),'График'!B42-C95,"")</f>
        <v/>
      </c>
    </row>
    <row r="96">
      <c r="A96" s="13">
        <f>'График'!A43</f>
        <v/>
      </c>
      <c r="B96" s="13">
        <f>'График'!B43</f>
        <v/>
      </c>
      <c r="C96" s="13">
        <f>IF(ISNUMBER('График'!B43),$A$80*'График'!A43^3+$B$80*'График'!A43^2+$C$80*'График'!A43+$D$80,"")</f>
        <v/>
      </c>
      <c r="D96" s="13">
        <f>IF(AND(ISNUMBER('График'!B43),ISNUMBER(C96)),'График'!B43-C96,"")</f>
        <v/>
      </c>
    </row>
    <row r="97">
      <c r="A97" s="13">
        <f>'График'!A44</f>
        <v/>
      </c>
      <c r="B97" s="13">
        <f>'График'!B44</f>
        <v/>
      </c>
      <c r="C97" s="13">
        <f>IF(ISNUMBER('График'!B44),$A$80*'График'!A44^3+$B$80*'График'!A44^2+$C$80*'График'!A44+$D$80,"")</f>
        <v/>
      </c>
      <c r="D97" s="13">
        <f>IF(AND(ISNUMBER('График'!B44),ISNUMBER(C97)),'График'!B44-C97,"")</f>
        <v/>
      </c>
    </row>
    <row r="98">
      <c r="A98" s="13">
        <f>'График'!A45</f>
        <v/>
      </c>
      <c r="B98" s="13">
        <f>'График'!B45</f>
        <v/>
      </c>
      <c r="C98" s="13">
        <f>IF(ISNUMBER('График'!B45),$A$80*'График'!A45^3+$B$80*'График'!A45^2+$C$80*'График'!A45+$D$80,"")</f>
        <v/>
      </c>
      <c r="D98" s="13">
        <f>IF(AND(ISNUMBER('График'!B45),ISNUMBER(C98)),'График'!B45-C98,"")</f>
        <v/>
      </c>
    </row>
    <row r="99">
      <c r="A99" s="13">
        <f>'График'!A46</f>
        <v/>
      </c>
      <c r="B99" s="13">
        <f>'График'!B46</f>
        <v/>
      </c>
      <c r="C99" s="13">
        <f>IF(ISNUMBER('График'!B46),$A$80*'График'!A46^3+$B$80*'График'!A46^2+$C$80*'График'!A46+$D$80,"")</f>
        <v/>
      </c>
      <c r="D99" s="13">
        <f>IF(AND(ISNUMBER('График'!B46),ISNUMBER(C99)),'График'!B46-C99,"")</f>
        <v/>
      </c>
    </row>
    <row r="100">
      <c r="A100" s="13">
        <f>'График'!A47</f>
        <v/>
      </c>
      <c r="B100" s="13">
        <f>'График'!B47</f>
        <v/>
      </c>
      <c r="C100" s="13">
        <f>IF(ISNUMBER('График'!B47),$A$80*'График'!A47^3+$B$80*'График'!A47^2+$C$80*'График'!A47+$D$80,"")</f>
        <v/>
      </c>
      <c r="D100" s="13">
        <f>IF(AND(ISNUMBER('График'!B47),ISNUMBER(C100)),'График'!B47-C100,"")</f>
        <v/>
      </c>
    </row>
    <row r="101">
      <c r="A101" s="13">
        <f>'График'!A48</f>
        <v/>
      </c>
      <c r="B101" s="13">
        <f>'График'!B48</f>
        <v/>
      </c>
      <c r="C101" s="13">
        <f>IF(ISNUMBER('График'!B48),$A$80*'График'!A48^3+$B$80*'График'!A48^2+$C$80*'График'!A48+$D$80,"")</f>
        <v/>
      </c>
      <c r="D101" s="13">
        <f>IF(AND(ISNUMBER('График'!B48),ISNUMBER(C101)),'График'!B48-C101,"")</f>
        <v/>
      </c>
    </row>
    <row r="102">
      <c r="A102" s="13">
        <f>'График'!A49</f>
        <v/>
      </c>
      <c r="B102" s="13">
        <f>'График'!B49</f>
        <v/>
      </c>
      <c r="C102" s="13">
        <f>IF(ISNUMBER('График'!B49),$A$80*'График'!A49^3+$B$80*'График'!A49^2+$C$80*'График'!A49+$D$80,"")</f>
        <v/>
      </c>
      <c r="D102" s="13">
        <f>IF(AND(ISNUMBER('График'!B49),ISNUMBER(C102)),'График'!B49-C102,"")</f>
        <v/>
      </c>
    </row>
    <row r="103">
      <c r="A103" s="19" t="inlineStr">
        <is>
          <t>R² (T_НД vs полином Ветки 2):</t>
        </is>
      </c>
      <c r="B103" s="20">
        <f>RSQ(B82:B102,C82:C102)</f>
        <v/>
      </c>
    </row>
    <row r="104">
      <c r="A104" s="16" t="inlineStr">
        <is>
          <t>ВТОРАЯ модель построена по фактически введённым точкам Ветки 2 (только строки, где есть и Vср, и T_НД; пары собраны во вспомогательные колонки A/B на листе «График» без пустот). Пока не введены данные — коэффициенты пусты (LINEST по пустому диапазону). Ветка 2 независима от Ветки 1.</t>
        </is>
      </c>
    </row>
  </sheetData>
  <conditionalFormatting sqref="N2:N21">
    <cfRule type="cellIs" priority="1" operator="greaterThan" dxfId="0">
      <formula>O2</formula>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2" customWidth="1" min="1" max="1"/>
    <col width="12" customWidth="1" min="2" max="4"/>
  </cols>
  <sheetData>
    <row r="1">
      <c r="A1" s="1" t="inlineStr">
        <is>
          <t>ИТОГ расчёта GOST 2177</t>
        </is>
      </c>
    </row>
    <row r="2">
      <c r="A2" s="3" t="inlineStr">
        <is>
          <t>Давление, мм рт.ст.</t>
        </is>
      </c>
      <c r="B2" s="6">
        <f>Ввод!B1</f>
        <v/>
      </c>
    </row>
    <row r="3">
      <c r="A3" s="3" t="inlineStr">
        <is>
          <t>Объём образца, мл</t>
        </is>
      </c>
      <c r="B3" s="6">
        <f>Ввод!G1</f>
        <v/>
      </c>
    </row>
    <row r="5">
      <c r="A5" s="1" t="inlineStr">
        <is>
          <t>% отгона</t>
        </is>
      </c>
      <c r="B5" s="1" t="inlineStr">
        <is>
          <t>T1</t>
        </is>
      </c>
      <c r="C5" s="1" t="inlineStr">
        <is>
          <t>T2</t>
        </is>
      </c>
      <c r="D5" s="1" t="inlineStr">
        <is>
          <t>T_corr</t>
        </is>
      </c>
      <c r="E5" s="1" t="inlineStr">
        <is>
          <t>r</t>
        </is>
      </c>
      <c r="F5" s="1" t="inlineStr">
        <is>
          <t>R</t>
        </is>
      </c>
      <c r="G5" s="1" t="inlineStr">
        <is>
          <t>Статус</t>
        </is>
      </c>
    </row>
    <row r="6">
      <c r="A6" s="6">
        <f>Расчёт!A2</f>
        <v/>
      </c>
      <c r="B6" s="6">
        <f>Расчёт!B2</f>
        <v/>
      </c>
      <c r="C6" s="6">
        <f>Расчёт!C2</f>
        <v/>
      </c>
      <c r="D6" s="6">
        <f>Расчёт!F2</f>
        <v/>
      </c>
      <c r="E6" s="6">
        <f>Расчёт!O2</f>
        <v/>
      </c>
      <c r="F6" s="6">
        <f>Расчёт!P2</f>
        <v/>
      </c>
      <c r="G6" s="6">
        <f>Расчёт!U2</f>
        <v/>
      </c>
    </row>
    <row r="7">
      <c r="A7" s="6">
        <f>Расчёт!A3</f>
        <v/>
      </c>
      <c r="B7" s="6">
        <f>Расчёт!B3</f>
        <v/>
      </c>
      <c r="C7" s="6">
        <f>Расчёт!C3</f>
        <v/>
      </c>
      <c r="D7" s="6">
        <f>Расчёт!F3</f>
        <v/>
      </c>
      <c r="E7" s="6">
        <f>Расчёт!O3</f>
        <v/>
      </c>
      <c r="F7" s="6">
        <f>Расчёт!P3</f>
        <v/>
      </c>
      <c r="G7" s="6">
        <f>Расчёт!U3</f>
        <v/>
      </c>
    </row>
    <row r="8">
      <c r="A8" s="6">
        <f>Расчёт!A4</f>
        <v/>
      </c>
      <c r="B8" s="6">
        <f>Расчёт!B4</f>
        <v/>
      </c>
      <c r="C8" s="6">
        <f>Расчёт!C4</f>
        <v/>
      </c>
      <c r="D8" s="6">
        <f>Расчёт!F4</f>
        <v/>
      </c>
      <c r="E8" s="6">
        <f>Расчёт!O4</f>
        <v/>
      </c>
      <c r="F8" s="6">
        <f>Расчёт!P4</f>
        <v/>
      </c>
      <c r="G8" s="6">
        <f>Расчёт!U4</f>
        <v/>
      </c>
    </row>
    <row r="9">
      <c r="A9" s="6">
        <f>Расчёт!A5</f>
        <v/>
      </c>
      <c r="B9" s="6">
        <f>Расчёт!B5</f>
        <v/>
      </c>
      <c r="C9" s="6">
        <f>Расчёт!C5</f>
        <v/>
      </c>
      <c r="D9" s="6">
        <f>Расчёт!F5</f>
        <v/>
      </c>
      <c r="E9" s="6">
        <f>Расчёт!O5</f>
        <v/>
      </c>
      <c r="F9" s="6">
        <f>Расчёт!P5</f>
        <v/>
      </c>
      <c r="G9" s="6">
        <f>Расчёт!U5</f>
        <v/>
      </c>
    </row>
    <row r="10">
      <c r="A10" s="6">
        <f>Расчёт!A6</f>
        <v/>
      </c>
      <c r="B10" s="6">
        <f>Расчёт!B6</f>
        <v/>
      </c>
      <c r="C10" s="6">
        <f>Расчёт!C6</f>
        <v/>
      </c>
      <c r="D10" s="6">
        <f>Расчёт!F6</f>
        <v/>
      </c>
      <c r="E10" s="6">
        <f>Расчёт!O6</f>
        <v/>
      </c>
      <c r="F10" s="6">
        <f>Расчёт!P6</f>
        <v/>
      </c>
      <c r="G10" s="6">
        <f>Расчёт!U6</f>
        <v/>
      </c>
    </row>
    <row r="11">
      <c r="A11" s="6">
        <f>Расчёт!A7</f>
        <v/>
      </c>
      <c r="B11" s="6">
        <f>Расчёт!B7</f>
        <v/>
      </c>
      <c r="C11" s="6">
        <f>Расчёт!C7</f>
        <v/>
      </c>
      <c r="D11" s="6">
        <f>Расчёт!F7</f>
        <v/>
      </c>
      <c r="E11" s="6">
        <f>Расчёт!O7</f>
        <v/>
      </c>
      <c r="F11" s="6">
        <f>Расчёт!P7</f>
        <v/>
      </c>
      <c r="G11" s="6">
        <f>Расчёт!U7</f>
        <v/>
      </c>
    </row>
    <row r="12">
      <c r="A12" s="6">
        <f>Расчёт!A8</f>
        <v/>
      </c>
      <c r="B12" s="6">
        <f>Расчёт!B8</f>
        <v/>
      </c>
      <c r="C12" s="6">
        <f>Расчёт!C8</f>
        <v/>
      </c>
      <c r="D12" s="6">
        <f>Расчёт!F8</f>
        <v/>
      </c>
      <c r="E12" s="6">
        <f>Расчёт!O8</f>
        <v/>
      </c>
      <c r="F12" s="6">
        <f>Расчёт!P8</f>
        <v/>
      </c>
      <c r="G12" s="6">
        <f>Расчёт!U8</f>
        <v/>
      </c>
    </row>
    <row r="13">
      <c r="A13" s="6">
        <f>Расчёт!A9</f>
        <v/>
      </c>
      <c r="B13" s="6">
        <f>Расчёт!B9</f>
        <v/>
      </c>
      <c r="C13" s="6">
        <f>Расчёт!C9</f>
        <v/>
      </c>
      <c r="D13" s="6">
        <f>Расчёт!F9</f>
        <v/>
      </c>
      <c r="E13" s="6">
        <f>Расчёт!O9</f>
        <v/>
      </c>
      <c r="F13" s="6">
        <f>Расчёт!P9</f>
        <v/>
      </c>
      <c r="G13" s="6">
        <f>Расчёт!U9</f>
        <v/>
      </c>
    </row>
    <row r="14">
      <c r="A14" s="6">
        <f>Расчёт!A10</f>
        <v/>
      </c>
      <c r="B14" s="6">
        <f>Расчёт!B10</f>
        <v/>
      </c>
      <c r="C14" s="6">
        <f>Расчёт!C10</f>
        <v/>
      </c>
      <c r="D14" s="6">
        <f>Расчёт!F10</f>
        <v/>
      </c>
      <c r="E14" s="6">
        <f>Расчёт!O10</f>
        <v/>
      </c>
      <c r="F14" s="6">
        <f>Расчёт!P10</f>
        <v/>
      </c>
      <c r="G14" s="6">
        <f>Расчёт!U10</f>
        <v/>
      </c>
    </row>
    <row r="15">
      <c r="A15" s="6">
        <f>Расчёт!A11</f>
        <v/>
      </c>
      <c r="B15" s="6">
        <f>Расчёт!B11</f>
        <v/>
      </c>
      <c r="C15" s="6">
        <f>Расчёт!C11</f>
        <v/>
      </c>
      <c r="D15" s="6">
        <f>Расчёт!F11</f>
        <v/>
      </c>
      <c r="E15" s="6">
        <f>Расчёт!O11</f>
        <v/>
      </c>
      <c r="F15" s="6">
        <f>Расчёт!P11</f>
        <v/>
      </c>
      <c r="G15" s="6">
        <f>Расчёт!U11</f>
        <v/>
      </c>
    </row>
    <row r="16">
      <c r="A16" s="6">
        <f>Расчёт!A12</f>
        <v/>
      </c>
      <c r="B16" s="6">
        <f>Расчёт!B12</f>
        <v/>
      </c>
      <c r="C16" s="6">
        <f>Расчёт!C12</f>
        <v/>
      </c>
      <c r="D16" s="6">
        <f>Расчёт!F12</f>
        <v/>
      </c>
      <c r="E16" s="6">
        <f>Расчёт!O12</f>
        <v/>
      </c>
      <c r="F16" s="6">
        <f>Расчёт!P12</f>
        <v/>
      </c>
      <c r="G16" s="6">
        <f>Расчёт!U12</f>
        <v/>
      </c>
    </row>
    <row r="17">
      <c r="A17" s="6">
        <f>Расчёт!A13</f>
        <v/>
      </c>
      <c r="B17" s="6">
        <f>Расчёт!B13</f>
        <v/>
      </c>
      <c r="C17" s="6">
        <f>Расчёт!C13</f>
        <v/>
      </c>
      <c r="D17" s="6">
        <f>Расчёт!F13</f>
        <v/>
      </c>
      <c r="E17" s="6">
        <f>Расчёт!O13</f>
        <v/>
      </c>
      <c r="F17" s="6">
        <f>Расчёт!P13</f>
        <v/>
      </c>
      <c r="G17" s="6">
        <f>Расчёт!U13</f>
        <v/>
      </c>
    </row>
    <row r="18">
      <c r="A18" s="6">
        <f>Расчёт!A14</f>
        <v/>
      </c>
      <c r="B18" s="6">
        <f>Расчёт!B14</f>
        <v/>
      </c>
      <c r="C18" s="6">
        <f>Расчёт!C14</f>
        <v/>
      </c>
      <c r="D18" s="6">
        <f>Расчёт!F14</f>
        <v/>
      </c>
      <c r="E18" s="6">
        <f>Расчёт!O14</f>
        <v/>
      </c>
      <c r="F18" s="6">
        <f>Расчёт!P14</f>
        <v/>
      </c>
      <c r="G18" s="6">
        <f>Расчёт!U14</f>
        <v/>
      </c>
    </row>
    <row r="19">
      <c r="A19" s="6">
        <f>Расчёт!A15</f>
        <v/>
      </c>
      <c r="B19" s="6">
        <f>Расчёт!B15</f>
        <v/>
      </c>
      <c r="C19" s="6">
        <f>Расчёт!C15</f>
        <v/>
      </c>
      <c r="D19" s="6">
        <f>Расчёт!F15</f>
        <v/>
      </c>
      <c r="E19" s="6">
        <f>Расчёт!O15</f>
        <v/>
      </c>
      <c r="F19" s="6">
        <f>Расчёт!P15</f>
        <v/>
      </c>
      <c r="G19" s="6">
        <f>Расчёт!U15</f>
        <v/>
      </c>
    </row>
    <row r="20">
      <c r="A20" s="6">
        <f>Расчёт!A16</f>
        <v/>
      </c>
      <c r="B20" s="6">
        <f>Расчёт!B16</f>
        <v/>
      </c>
      <c r="C20" s="6">
        <f>Расчёт!C16</f>
        <v/>
      </c>
      <c r="D20" s="6">
        <f>Расчёт!F16</f>
        <v/>
      </c>
      <c r="E20" s="6">
        <f>Расчёт!O16</f>
        <v/>
      </c>
      <c r="F20" s="6">
        <f>Расчёт!P16</f>
        <v/>
      </c>
      <c r="G20" s="6">
        <f>Расчёт!U16</f>
        <v/>
      </c>
    </row>
    <row r="21">
      <c r="A21" s="6">
        <f>Расчёт!A17</f>
        <v/>
      </c>
      <c r="B21" s="6">
        <f>Расчёт!B17</f>
        <v/>
      </c>
      <c r="C21" s="6">
        <f>Расчёт!C17</f>
        <v/>
      </c>
      <c r="D21" s="6">
        <f>Расчёт!F17</f>
        <v/>
      </c>
      <c r="E21" s="6">
        <f>Расчёт!O17</f>
        <v/>
      </c>
      <c r="F21" s="6">
        <f>Расчёт!P17</f>
        <v/>
      </c>
      <c r="G21" s="6">
        <f>Расчёт!U17</f>
        <v/>
      </c>
    </row>
    <row r="22">
      <c r="A22" s="6">
        <f>Расчёт!A18</f>
        <v/>
      </c>
      <c r="B22" s="6">
        <f>Расчёт!B18</f>
        <v/>
      </c>
      <c r="C22" s="6">
        <f>Расчёт!C18</f>
        <v/>
      </c>
      <c r="D22" s="6">
        <f>Расчёт!F18</f>
        <v/>
      </c>
      <c r="E22" s="6">
        <f>Расчёт!O18</f>
        <v/>
      </c>
      <c r="F22" s="6">
        <f>Расчёт!P18</f>
        <v/>
      </c>
      <c r="G22" s="6">
        <f>Расчёт!U18</f>
        <v/>
      </c>
    </row>
    <row r="23">
      <c r="A23" s="6">
        <f>Расчёт!A19</f>
        <v/>
      </c>
      <c r="B23" s="6">
        <f>Расчёт!B19</f>
        <v/>
      </c>
      <c r="C23" s="6">
        <f>Расчёт!C19</f>
        <v/>
      </c>
      <c r="D23" s="6">
        <f>Расчёт!F19</f>
        <v/>
      </c>
      <c r="E23" s="6">
        <f>Расчёт!O19</f>
        <v/>
      </c>
      <c r="F23" s="6">
        <f>Расчёт!P19</f>
        <v/>
      </c>
      <c r="G23" s="6">
        <f>Расчёт!U19</f>
        <v/>
      </c>
    </row>
    <row r="24">
      <c r="A24" s="6">
        <f>Расчёт!A20</f>
        <v/>
      </c>
      <c r="B24" s="6">
        <f>Расчёт!B20</f>
        <v/>
      </c>
      <c r="C24" s="6">
        <f>Расчёт!C20</f>
        <v/>
      </c>
      <c r="D24" s="6">
        <f>Расчёт!F20</f>
        <v/>
      </c>
      <c r="E24" s="6">
        <f>Расчёт!O20</f>
        <v/>
      </c>
      <c r="F24" s="6">
        <f>Расчёт!P20</f>
        <v/>
      </c>
      <c r="G24" s="6">
        <f>Расчёт!U20</f>
        <v/>
      </c>
    </row>
    <row r="25">
      <c r="A25" s="6">
        <f>Расчёт!A21</f>
        <v/>
      </c>
      <c r="B25" s="6">
        <f>Расчёт!B21</f>
        <v/>
      </c>
      <c r="C25" s="6">
        <f>Расчёт!C21</f>
        <v/>
      </c>
      <c r="D25" s="6">
        <f>Расчёт!F21</f>
        <v/>
      </c>
      <c r="E25" s="6">
        <f>Расчёт!O21</f>
        <v/>
      </c>
      <c r="F25" s="6">
        <f>Расчёт!P21</f>
        <v/>
      </c>
      <c r="G25" s="6">
        <f>Расчёт!U21</f>
        <v/>
      </c>
    </row>
    <row r="26">
      <c r="A26" s="6">
        <f>Расчёт!A22</f>
        <v/>
      </c>
      <c r="B26" s="6">
        <f>Расчёт!B22</f>
        <v/>
      </c>
      <c r="C26" s="6">
        <f>Расчёт!C22</f>
        <v/>
      </c>
      <c r="D26" s="6">
        <f>Расчёт!F22</f>
        <v/>
      </c>
      <c r="E26" s="6">
        <f>Расчёт!O22</f>
        <v/>
      </c>
      <c r="F26" s="6">
        <f>Расчёт!P22</f>
        <v/>
      </c>
      <c r="G26" s="6">
        <f>Расчёт!U22</f>
        <v/>
      </c>
    </row>
    <row r="28">
      <c r="A28" s="7" t="inlineStr">
        <is>
          <t>Обратный пересчёт T-&gt;V (коррекция давления ДО) и V-&gt;T (коррекция ПОСЛЕ) — в листе «Расчёт»</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
  <sheetViews>
    <sheetView workbookViewId="0">
      <selection activeCell="A1" sqref="A1"/>
    </sheetView>
  </sheetViews>
  <sheetFormatPr baseColWidth="8" defaultRowHeight="15"/>
  <sheetData>
    <row r="1">
      <c r="A1" t="inlineStr">
        <is>
          <t>Графики дистилляции (GOST 2177). Диаграмма 1 — Ветка 1 (% отгона → T_corr + полином); Диаграмма 2 — Ветка 2 (Vср, % → T_НД + полином).</t>
        </is>
      </c>
    </row>
    <row r="3">
      <c r="A3" t="inlineStr">
        <is>
          <t>% отгона</t>
        </is>
      </c>
      <c r="B3" t="inlineStr">
        <is>
          <t>T_corr (эксперимент)</t>
        </is>
      </c>
      <c r="C3" t="inlineStr">
        <is>
          <t>T_полином (аппроксимация)</t>
        </is>
      </c>
      <c r="E3" t="inlineStr">
        <is>
          <t>Vср, % (Ветка 2)</t>
        </is>
      </c>
      <c r="F3" t="inlineStr">
        <is>
          <t>T_НД, °C (из НД, при 760)</t>
        </is>
      </c>
      <c r="G3" t="inlineStr">
        <is>
          <t>T_полином Ветки 2 (аппроксимация)</t>
        </is>
      </c>
    </row>
    <row r="4">
      <c r="A4">
        <f>'Расчёт'!A2</f>
        <v/>
      </c>
      <c r="B4">
        <f>'Расчёт'!F2</f>
        <v/>
      </c>
      <c r="C4">
        <f>'Расчёт'!C54</f>
        <v/>
      </c>
      <c r="E4">
        <f>'Расчёт'!F27</f>
        <v/>
      </c>
      <c r="F4">
        <f>'Расчёт'!A27</f>
        <v/>
      </c>
      <c r="G4">
        <f>'Расчёт'!C81</f>
        <v/>
      </c>
    </row>
    <row r="5">
      <c r="A5">
        <f>'Расчёт'!A3</f>
        <v/>
      </c>
      <c r="B5">
        <f>'Расчёт'!F3</f>
        <v/>
      </c>
      <c r="C5">
        <f>'Расчёт'!C55</f>
        <v/>
      </c>
      <c r="E5">
        <f>'Расчёт'!F28</f>
        <v/>
      </c>
      <c r="F5">
        <f>'Расчёт'!A28</f>
        <v/>
      </c>
      <c r="G5">
        <f>'Расчёт'!C82</f>
        <v/>
      </c>
    </row>
    <row r="6">
      <c r="A6">
        <f>'Расчёт'!A4</f>
        <v/>
      </c>
      <c r="B6">
        <f>'Расчёт'!F4</f>
        <v/>
      </c>
      <c r="C6">
        <f>'Расчёт'!C56</f>
        <v/>
      </c>
      <c r="E6">
        <f>'Расчёт'!F29</f>
        <v/>
      </c>
      <c r="F6">
        <f>'Расчёт'!A29</f>
        <v/>
      </c>
      <c r="G6">
        <f>'Расчёт'!C83</f>
        <v/>
      </c>
    </row>
    <row r="7">
      <c r="A7">
        <f>'Расчёт'!A5</f>
        <v/>
      </c>
      <c r="B7">
        <f>'Расчёт'!F5</f>
        <v/>
      </c>
      <c r="C7">
        <f>'Расчёт'!C57</f>
        <v/>
      </c>
      <c r="E7">
        <f>'Расчёт'!F30</f>
        <v/>
      </c>
      <c r="F7">
        <f>'Расчёт'!A30</f>
        <v/>
      </c>
      <c r="G7">
        <f>'Расчёт'!C84</f>
        <v/>
      </c>
    </row>
    <row r="8">
      <c r="A8">
        <f>'Расчёт'!A6</f>
        <v/>
      </c>
      <c r="B8">
        <f>'Расчёт'!F6</f>
        <v/>
      </c>
      <c r="C8">
        <f>'Расчёт'!C58</f>
        <v/>
      </c>
      <c r="E8">
        <f>'Расчёт'!F31</f>
        <v/>
      </c>
      <c r="F8">
        <f>'Расчёт'!A31</f>
        <v/>
      </c>
      <c r="G8">
        <f>'Расчёт'!C85</f>
        <v/>
      </c>
    </row>
    <row r="9">
      <c r="A9">
        <f>'Расчёт'!A7</f>
        <v/>
      </c>
      <c r="B9">
        <f>'Расчёт'!F7</f>
        <v/>
      </c>
      <c r="C9">
        <f>'Расчёт'!C59</f>
        <v/>
      </c>
      <c r="E9">
        <f>'Расчёт'!F32</f>
        <v/>
      </c>
      <c r="F9">
        <f>'Расчёт'!A32</f>
        <v/>
      </c>
      <c r="G9">
        <f>'Расчёт'!C86</f>
        <v/>
      </c>
    </row>
    <row r="10">
      <c r="A10">
        <f>'Расчёт'!A8</f>
        <v/>
      </c>
      <c r="B10">
        <f>'Расчёт'!F8</f>
        <v/>
      </c>
      <c r="C10">
        <f>'Расчёт'!C60</f>
        <v/>
      </c>
      <c r="E10">
        <f>'Расчёт'!F33</f>
        <v/>
      </c>
      <c r="F10">
        <f>'Расчёт'!A33</f>
        <v/>
      </c>
      <c r="G10">
        <f>'Расчёт'!C87</f>
        <v/>
      </c>
    </row>
    <row r="11">
      <c r="A11">
        <f>'Расчёт'!A9</f>
        <v/>
      </c>
      <c r="B11">
        <f>'Расчёт'!F9</f>
        <v/>
      </c>
      <c r="C11">
        <f>'Расчёт'!C61</f>
        <v/>
      </c>
      <c r="E11">
        <f>'Расчёт'!F34</f>
        <v/>
      </c>
      <c r="F11">
        <f>'Расчёт'!A34</f>
        <v/>
      </c>
      <c r="G11">
        <f>'Расчёт'!C88</f>
        <v/>
      </c>
    </row>
    <row r="12">
      <c r="A12">
        <f>'Расчёт'!A10</f>
        <v/>
      </c>
      <c r="B12">
        <f>'Расчёт'!F10</f>
        <v/>
      </c>
      <c r="C12">
        <f>'Расчёт'!C62</f>
        <v/>
      </c>
      <c r="E12">
        <f>'Расчёт'!F35</f>
        <v/>
      </c>
      <c r="F12">
        <f>'Расчёт'!A35</f>
        <v/>
      </c>
      <c r="G12">
        <f>'Расчёт'!C89</f>
        <v/>
      </c>
    </row>
    <row r="13">
      <c r="A13">
        <f>'Расчёт'!A11</f>
        <v/>
      </c>
      <c r="B13">
        <f>'Расчёт'!F11</f>
        <v/>
      </c>
      <c r="C13">
        <f>'Расчёт'!C63</f>
        <v/>
      </c>
      <c r="E13">
        <f>'Расчёт'!F36</f>
        <v/>
      </c>
      <c r="F13">
        <f>'Расчёт'!A36</f>
        <v/>
      </c>
      <c r="G13">
        <f>'Расчёт'!C90</f>
        <v/>
      </c>
    </row>
    <row r="14">
      <c r="A14">
        <f>'Расчёт'!A12</f>
        <v/>
      </c>
      <c r="B14">
        <f>'Расчёт'!F12</f>
        <v/>
      </c>
      <c r="C14">
        <f>'Расчёт'!C64</f>
        <v/>
      </c>
      <c r="E14">
        <f>'Расчёт'!F37</f>
        <v/>
      </c>
      <c r="F14">
        <f>'Расчёт'!A37</f>
        <v/>
      </c>
      <c r="G14">
        <f>'Расчёт'!C91</f>
        <v/>
      </c>
    </row>
    <row r="15">
      <c r="A15">
        <f>'Расчёт'!A13</f>
        <v/>
      </c>
      <c r="B15">
        <f>'Расчёт'!F13</f>
        <v/>
      </c>
      <c r="C15">
        <f>'Расчёт'!C65</f>
        <v/>
      </c>
      <c r="E15">
        <f>'Расчёт'!F38</f>
        <v/>
      </c>
      <c r="F15">
        <f>'Расчёт'!A38</f>
        <v/>
      </c>
      <c r="G15">
        <f>'Расчёт'!C92</f>
        <v/>
      </c>
    </row>
    <row r="16">
      <c r="A16">
        <f>'Расчёт'!A14</f>
        <v/>
      </c>
      <c r="B16">
        <f>'Расчёт'!F14</f>
        <v/>
      </c>
      <c r="C16">
        <f>'Расчёт'!C66</f>
        <v/>
      </c>
      <c r="E16">
        <f>'Расчёт'!F39</f>
        <v/>
      </c>
      <c r="F16">
        <f>'Расчёт'!A39</f>
        <v/>
      </c>
      <c r="G16">
        <f>'Расчёт'!C93</f>
        <v/>
      </c>
    </row>
    <row r="17">
      <c r="A17">
        <f>'Расчёт'!A15</f>
        <v/>
      </c>
      <c r="B17">
        <f>'Расчёт'!F15</f>
        <v/>
      </c>
      <c r="C17">
        <f>'Расчёт'!C67</f>
        <v/>
      </c>
      <c r="E17">
        <f>'Расчёт'!F40</f>
        <v/>
      </c>
      <c r="F17">
        <f>'Расчёт'!A40</f>
        <v/>
      </c>
      <c r="G17">
        <f>'Расчёт'!C94</f>
        <v/>
      </c>
    </row>
    <row r="18">
      <c r="A18">
        <f>'Расчёт'!A16</f>
        <v/>
      </c>
      <c r="B18">
        <f>'Расчёт'!F16</f>
        <v/>
      </c>
      <c r="C18">
        <f>'Расчёт'!C68</f>
        <v/>
      </c>
      <c r="E18">
        <f>'Расчёт'!F41</f>
        <v/>
      </c>
      <c r="F18">
        <f>'Расчёт'!A41</f>
        <v/>
      </c>
      <c r="G18">
        <f>'Расчёт'!C95</f>
        <v/>
      </c>
    </row>
    <row r="19">
      <c r="A19">
        <f>'Расчёт'!A17</f>
        <v/>
      </c>
      <c r="B19">
        <f>'Расчёт'!F17</f>
        <v/>
      </c>
      <c r="C19">
        <f>'Расчёт'!C69</f>
        <v/>
      </c>
      <c r="E19">
        <f>'Расчёт'!F42</f>
        <v/>
      </c>
      <c r="F19">
        <f>'Расчёт'!A42</f>
        <v/>
      </c>
      <c r="G19">
        <f>'Расчёт'!C96</f>
        <v/>
      </c>
    </row>
    <row r="20">
      <c r="A20">
        <f>'Расчёт'!A18</f>
        <v/>
      </c>
      <c r="B20">
        <f>'Расчёт'!F18</f>
        <v/>
      </c>
      <c r="C20">
        <f>'Расчёт'!C70</f>
        <v/>
      </c>
      <c r="E20">
        <f>'Расчёт'!F43</f>
        <v/>
      </c>
      <c r="F20">
        <f>'Расчёт'!A43</f>
        <v/>
      </c>
      <c r="G20">
        <f>'Расчёт'!C97</f>
        <v/>
      </c>
    </row>
    <row r="21">
      <c r="A21">
        <f>'Расчёт'!A19</f>
        <v/>
      </c>
      <c r="B21">
        <f>'Расчёт'!F19</f>
        <v/>
      </c>
      <c r="C21">
        <f>'Расчёт'!C71</f>
        <v/>
      </c>
      <c r="E21">
        <f>'Расчёт'!F44</f>
        <v/>
      </c>
      <c r="F21">
        <f>'Расчёт'!A44</f>
        <v/>
      </c>
      <c r="G21">
        <f>'Расчёт'!C98</f>
        <v/>
      </c>
    </row>
    <row r="22">
      <c r="A22">
        <f>'Расчёт'!A20</f>
        <v/>
      </c>
      <c r="B22">
        <f>'Расчёт'!F20</f>
        <v/>
      </c>
      <c r="C22">
        <f>'Расчёт'!C72</f>
        <v/>
      </c>
      <c r="E22">
        <f>'Расчёт'!F45</f>
        <v/>
      </c>
      <c r="F22">
        <f>'Расчёт'!A45</f>
        <v/>
      </c>
      <c r="G22">
        <f>'Расчёт'!C99</f>
        <v/>
      </c>
    </row>
    <row r="23">
      <c r="A23">
        <f>'Расчёт'!A21</f>
        <v/>
      </c>
      <c r="B23">
        <f>'Расчёт'!F21</f>
        <v/>
      </c>
      <c r="C23">
        <f>'Расчёт'!C73</f>
        <v/>
      </c>
      <c r="E23">
        <f>'Расчёт'!F46</f>
        <v/>
      </c>
      <c r="F23">
        <f>'Расчёт'!A46</f>
        <v/>
      </c>
      <c r="G23">
        <f>'Расчёт'!C100</f>
        <v/>
      </c>
    </row>
    <row r="24">
      <c r="A24">
        <f>'Расчёт'!A22</f>
        <v/>
      </c>
      <c r="B24">
        <f>'Расчёт'!F22</f>
        <v/>
      </c>
      <c r="C24">
        <f>'Расчёт'!C74</f>
        <v/>
      </c>
      <c r="E24">
        <f>'Расчёт'!F47</f>
        <v/>
      </c>
      <c r="F24">
        <f>'Расчёт'!A47</f>
        <v/>
      </c>
      <c r="G24">
        <f>'Расчёт'!C101</f>
        <v/>
      </c>
    </row>
    <row r="26">
      <c r="A26" s="21" t="inlineStr">
        <is>
          <t>R² (полином Ветки 1, из листа «Расчёт»):</t>
        </is>
      </c>
      <c r="B26">
        <f>'Расчёт'!B75</f>
        <v/>
      </c>
      <c r="E26" s="21" t="inlineStr">
        <is>
          <t>R² (полином Ветки 2, из листа «Расчёт»):</t>
        </is>
      </c>
      <c r="F26">
        <f>'Расчёт'!B102</f>
        <v/>
      </c>
    </row>
    <row r="27">
      <c r="A27" s="21" t="inlineStr">
        <is>
          <t>ВСПОМОГАТЕЛЬНАЯ ОБЛАСТЬ (Ветка 2): пары Vср → T_НД, собранные БЕЗ ПУСТОТ (для LINEST второй модели и второй диаграммы)</t>
        </is>
      </c>
    </row>
    <row r="28">
      <c r="A28" s="11" t="inlineStr">
        <is>
          <t>Vср, % (без пустот)</t>
        </is>
      </c>
      <c r="B28" s="11" t="inlineStr">
        <is>
          <t>T_НД, °C (без пустот)</t>
        </is>
      </c>
    </row>
    <row r="29">
      <c r="A29" s="13">
        <f>IFERROR(INDEX('Расчёт'!$F$27:$F$47,SMALL(IF(ISNUMBER('Расчёт'!$F$27:$F$47),ROW('Расчёт'!$F$27:$F$47)-ROW('Расчёт'!$F$27)+1),1)),"")</f>
        <v/>
      </c>
      <c r="B29" s="13">
        <f>IFERROR(INDEX('Расчёт'!$A$27:$A$47,SMALL(IF(ISNUMBER('Расчёт'!$F$27:$F$47),ROW('Расчёт'!$F$27:$F$47)-ROW('Расчёт'!$F$27)+1),1)),"")</f>
        <v/>
      </c>
    </row>
    <row r="30">
      <c r="A30" s="13">
        <f>IFERROR(INDEX('Расчёт'!$F$27:$F$47,SMALL(IF(ISNUMBER('Расчёт'!$F$27:$F$47),ROW('Расчёт'!$F$27:$F$47)-ROW('Расчёт'!$F$27)+1),2)),"")</f>
        <v/>
      </c>
      <c r="B30" s="13">
        <f>IFERROR(INDEX('Расчёт'!$A$27:$A$47,SMALL(IF(ISNUMBER('Расчёт'!$F$27:$F$47),ROW('Расчёт'!$F$27:$F$47)-ROW('Расчёт'!$F$27)+1),2)),"")</f>
        <v/>
      </c>
    </row>
    <row r="31">
      <c r="A31" s="13">
        <f>IFERROR(INDEX('Расчёт'!$F$27:$F$47,SMALL(IF(ISNUMBER('Расчёт'!$F$27:$F$47),ROW('Расчёт'!$F$27:$F$47)-ROW('Расчёт'!$F$27)+1),3)),"")</f>
        <v/>
      </c>
      <c r="B31" s="13">
        <f>IFERROR(INDEX('Расчёт'!$A$27:$A$47,SMALL(IF(ISNUMBER('Расчёт'!$F$27:$F$47),ROW('Расчёт'!$F$27:$F$47)-ROW('Расчёт'!$F$27)+1),3)),"")</f>
        <v/>
      </c>
    </row>
    <row r="32">
      <c r="A32" s="13">
        <f>IFERROR(INDEX('Расчёт'!$F$27:$F$47,SMALL(IF(ISNUMBER('Расчёт'!$F$27:$F$47),ROW('Расчёт'!$F$27:$F$47)-ROW('Расчёт'!$F$27)+1),4)),"")</f>
        <v/>
      </c>
      <c r="B32" s="13">
        <f>IFERROR(INDEX('Расчёт'!$A$27:$A$47,SMALL(IF(ISNUMBER('Расчёт'!$F$27:$F$47),ROW('Расчёт'!$F$27:$F$47)-ROW('Расчёт'!$F$27)+1),4)),"")</f>
        <v/>
      </c>
    </row>
    <row r="33">
      <c r="A33" s="13">
        <f>IFERROR(INDEX('Расчёт'!$F$27:$F$47,SMALL(IF(ISNUMBER('Расчёт'!$F$27:$F$47),ROW('Расчёт'!$F$27:$F$47)-ROW('Расчёт'!$F$27)+1),5)),"")</f>
        <v/>
      </c>
      <c r="B33" s="13">
        <f>IFERROR(INDEX('Расчёт'!$A$27:$A$47,SMALL(IF(ISNUMBER('Расчёт'!$F$27:$F$47),ROW('Расчёт'!$F$27:$F$47)-ROW('Расчёт'!$F$27)+1),5)),"")</f>
        <v/>
      </c>
    </row>
    <row r="34">
      <c r="A34" s="13">
        <f>IFERROR(INDEX('Расчёт'!$F$27:$F$47,SMALL(IF(ISNUMBER('Расчёт'!$F$27:$F$47),ROW('Расчёт'!$F$27:$F$47)-ROW('Расчёт'!$F$27)+1),6)),"")</f>
        <v/>
      </c>
      <c r="B34" s="13">
        <f>IFERROR(INDEX('Расчёт'!$A$27:$A$47,SMALL(IF(ISNUMBER('Расчёт'!$F$27:$F$47),ROW('Расчёт'!$F$27:$F$47)-ROW('Расчёт'!$F$27)+1),6)),"")</f>
        <v/>
      </c>
    </row>
    <row r="35">
      <c r="A35" s="13">
        <f>IFERROR(INDEX('Расчёт'!$F$27:$F$47,SMALL(IF(ISNUMBER('Расчёт'!$F$27:$F$47),ROW('Расчёт'!$F$27:$F$47)-ROW('Расчёт'!$F$27)+1),7)),"")</f>
        <v/>
      </c>
      <c r="B35" s="13">
        <f>IFERROR(INDEX('Расчёт'!$A$27:$A$47,SMALL(IF(ISNUMBER('Расчёт'!$F$27:$F$47),ROW('Расчёт'!$F$27:$F$47)-ROW('Расчёт'!$F$27)+1),7)),"")</f>
        <v/>
      </c>
    </row>
    <row r="36">
      <c r="A36" s="13">
        <f>IFERROR(INDEX('Расчёт'!$F$27:$F$47,SMALL(IF(ISNUMBER('Расчёт'!$F$27:$F$47),ROW('Расчёт'!$F$27:$F$47)-ROW('Расчёт'!$F$27)+1),8)),"")</f>
        <v/>
      </c>
      <c r="B36" s="13">
        <f>IFERROR(INDEX('Расчёт'!$A$27:$A$47,SMALL(IF(ISNUMBER('Расчёт'!$F$27:$F$47),ROW('Расчёт'!$F$27:$F$47)-ROW('Расчёт'!$F$27)+1),8)),"")</f>
        <v/>
      </c>
    </row>
    <row r="37">
      <c r="A37" s="13">
        <f>IFERROR(INDEX('Расчёт'!$F$27:$F$47,SMALL(IF(ISNUMBER('Расчёт'!$F$27:$F$47),ROW('Расчёт'!$F$27:$F$47)-ROW('Расчёт'!$F$27)+1),9)),"")</f>
        <v/>
      </c>
      <c r="B37" s="13">
        <f>IFERROR(INDEX('Расчёт'!$A$27:$A$47,SMALL(IF(ISNUMBER('Расчёт'!$F$27:$F$47),ROW('Расчёт'!$F$27:$F$47)-ROW('Расчёт'!$F$27)+1),9)),"")</f>
        <v/>
      </c>
    </row>
    <row r="38">
      <c r="A38" s="13">
        <f>IFERROR(INDEX('Расчёт'!$F$27:$F$47,SMALL(IF(ISNUMBER('Расчёт'!$F$27:$F$47),ROW('Расчёт'!$F$27:$F$47)-ROW('Расчёт'!$F$27)+1),10)),"")</f>
        <v/>
      </c>
      <c r="B38" s="13">
        <f>IFERROR(INDEX('Расчёт'!$A$27:$A$47,SMALL(IF(ISNUMBER('Расчёт'!$F$27:$F$47),ROW('Расчёт'!$F$27:$F$47)-ROW('Расчёт'!$F$27)+1),10)),"")</f>
        <v/>
      </c>
    </row>
    <row r="39">
      <c r="A39" s="13">
        <f>IFERROR(INDEX('Расчёт'!$F$27:$F$47,SMALL(IF(ISNUMBER('Расчёт'!$F$27:$F$47),ROW('Расчёт'!$F$27:$F$47)-ROW('Расчёт'!$F$27)+1),11)),"")</f>
        <v/>
      </c>
      <c r="B39" s="13">
        <f>IFERROR(INDEX('Расчёт'!$A$27:$A$47,SMALL(IF(ISNUMBER('Расчёт'!$F$27:$F$47),ROW('Расчёт'!$F$27:$F$47)-ROW('Расчёт'!$F$27)+1),11)),"")</f>
        <v/>
      </c>
    </row>
    <row r="40">
      <c r="A40" s="13">
        <f>IFERROR(INDEX('Расчёт'!$F$27:$F$47,SMALL(IF(ISNUMBER('Расчёт'!$F$27:$F$47),ROW('Расчёт'!$F$27:$F$47)-ROW('Расчёт'!$F$27)+1),12)),"")</f>
        <v/>
      </c>
      <c r="B40" s="13">
        <f>IFERROR(INDEX('Расчёт'!$A$27:$A$47,SMALL(IF(ISNUMBER('Расчёт'!$F$27:$F$47),ROW('Расчёт'!$F$27:$F$47)-ROW('Расчёт'!$F$27)+1),12)),"")</f>
        <v/>
      </c>
    </row>
    <row r="41">
      <c r="A41" s="13">
        <f>IFERROR(INDEX('Расчёт'!$F$27:$F$47,SMALL(IF(ISNUMBER('Расчёт'!$F$27:$F$47),ROW('Расчёт'!$F$27:$F$47)-ROW('Расчёт'!$F$27)+1),13)),"")</f>
        <v/>
      </c>
      <c r="B41" s="13">
        <f>IFERROR(INDEX('Расчёт'!$A$27:$A$47,SMALL(IF(ISNUMBER('Расчёт'!$F$27:$F$47),ROW('Расчёт'!$F$27:$F$47)-ROW('Расчёт'!$F$27)+1),13)),"")</f>
        <v/>
      </c>
    </row>
    <row r="42">
      <c r="A42" s="13">
        <f>IFERROR(INDEX('Расчёт'!$F$27:$F$47,SMALL(IF(ISNUMBER('Расчёт'!$F$27:$F$47),ROW('Расчёт'!$F$27:$F$47)-ROW('Расчёт'!$F$27)+1),14)),"")</f>
        <v/>
      </c>
      <c r="B42" s="13">
        <f>IFERROR(INDEX('Расчёт'!$A$27:$A$47,SMALL(IF(ISNUMBER('Расчёт'!$F$27:$F$47),ROW('Расчёт'!$F$27:$F$47)-ROW('Расчёт'!$F$27)+1),14)),"")</f>
        <v/>
      </c>
    </row>
    <row r="43">
      <c r="A43" s="13">
        <f>IFERROR(INDEX('Расчёт'!$F$27:$F$47,SMALL(IF(ISNUMBER('Расчёт'!$F$27:$F$47),ROW('Расчёт'!$F$27:$F$47)-ROW('Расчёт'!$F$27)+1),15)),"")</f>
        <v/>
      </c>
      <c r="B43" s="13">
        <f>IFERROR(INDEX('Расчёт'!$A$27:$A$47,SMALL(IF(ISNUMBER('Расчёт'!$F$27:$F$47),ROW('Расчёт'!$F$27:$F$47)-ROW('Расчёт'!$F$27)+1),15)),"")</f>
        <v/>
      </c>
    </row>
    <row r="44">
      <c r="A44" s="13">
        <f>IFERROR(INDEX('Расчёт'!$F$27:$F$47,SMALL(IF(ISNUMBER('Расчёт'!$F$27:$F$47),ROW('Расчёт'!$F$27:$F$47)-ROW('Расчёт'!$F$27)+1),16)),"")</f>
        <v/>
      </c>
      <c r="B44" s="13">
        <f>IFERROR(INDEX('Расчёт'!$A$27:$A$47,SMALL(IF(ISNUMBER('Расчёт'!$F$27:$F$47),ROW('Расчёт'!$F$27:$F$47)-ROW('Расчёт'!$F$27)+1),16)),"")</f>
        <v/>
      </c>
    </row>
    <row r="45">
      <c r="A45" s="13">
        <f>IFERROR(INDEX('Расчёт'!$F$27:$F$47,SMALL(IF(ISNUMBER('Расчёт'!$F$27:$F$47),ROW('Расчёт'!$F$27:$F$47)-ROW('Расчёт'!$F$27)+1),17)),"")</f>
        <v/>
      </c>
      <c r="B45" s="13">
        <f>IFERROR(INDEX('Расчёт'!$A$27:$A$47,SMALL(IF(ISNUMBER('Расчёт'!$F$27:$F$47),ROW('Расчёт'!$F$27:$F$47)-ROW('Расчёт'!$F$27)+1),17)),"")</f>
        <v/>
      </c>
    </row>
    <row r="46">
      <c r="A46" s="13">
        <f>IFERROR(INDEX('Расчёт'!$F$27:$F$47,SMALL(IF(ISNUMBER('Расчёт'!$F$27:$F$47),ROW('Расчёт'!$F$27:$F$47)-ROW('Расчёт'!$F$27)+1),18)),"")</f>
        <v/>
      </c>
      <c r="B46" s="13">
        <f>IFERROR(INDEX('Расчёт'!$A$27:$A$47,SMALL(IF(ISNUMBER('Расчёт'!$F$27:$F$47),ROW('Расчёт'!$F$27:$F$47)-ROW('Расчёт'!$F$27)+1),18)),"")</f>
        <v/>
      </c>
    </row>
    <row r="47">
      <c r="A47" s="13">
        <f>IFERROR(INDEX('Расчёт'!$F$27:$F$47,SMALL(IF(ISNUMBER('Расчёт'!$F$27:$F$47),ROW('Расчёт'!$F$27:$F$47)-ROW('Расчёт'!$F$27)+1),19)),"")</f>
        <v/>
      </c>
      <c r="B47" s="13">
        <f>IFERROR(INDEX('Расчёт'!$A$27:$A$47,SMALL(IF(ISNUMBER('Расчёт'!$F$27:$F$47),ROW('Расчёт'!$F$27:$F$47)-ROW('Расчёт'!$F$27)+1),19)),"")</f>
        <v/>
      </c>
    </row>
    <row r="48">
      <c r="A48" s="13">
        <f>IFERROR(INDEX('Расчёт'!$F$27:$F$47,SMALL(IF(ISNUMBER('Расчёт'!$F$27:$F$47),ROW('Расчёт'!$F$27:$F$47)-ROW('Расчёт'!$F$27)+1),20)),"")</f>
        <v/>
      </c>
      <c r="B48" s="13">
        <f>IFERROR(INDEX('Расчёт'!$A$27:$A$47,SMALL(IF(ISNUMBER('Расчёт'!$F$27:$F$47),ROW('Расчёт'!$F$27:$F$47)-ROW('Расчёт'!$F$27)+1),20)),"")</f>
        <v/>
      </c>
    </row>
    <row r="49">
      <c r="A49" s="13">
        <f>IFERROR(INDEX('Расчёт'!$F$27:$F$47,SMALL(IF(ISNUMBER('Расчёт'!$F$27:$F$47),ROW('Расчёт'!$F$27:$F$47)-ROW('Расчёт'!$F$27)+1),21)),"")</f>
        <v/>
      </c>
      <c r="B49" s="13">
        <f>IFERROR(INDEX('Расчёт'!$A$27:$A$47,SMALL(IF(ISNUMBER('Расчёт'!$F$27:$F$47),ROW('Расчёт'!$F$27:$F$47)-ROW('Расчёт'!$F$27)+1),21)),"")</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58" customWidth="1" min="3" max="3"/>
    <col width="52" customWidth="1" min="4" max="4"/>
    <col width="60" customWidth="1" min="5" max="5"/>
    <col width="18" customWidth="1" min="6" max="6"/>
    <col width="48" customWidth="1" min="7" max="7"/>
  </cols>
  <sheetData>
    <row r="1">
      <c r="A1" s="22" t="inlineStr">
        <is>
          <t>ID</t>
        </is>
      </c>
      <c r="B1" s="22" t="inlineStr">
        <is>
          <t>Класс</t>
        </is>
      </c>
      <c r="C1" s="22" t="inlineStr">
        <is>
          <t>Нормативное требование</t>
        </is>
      </c>
      <c r="D1" s="22" t="inlineStr">
        <is>
          <t>Что было в v3.11</t>
        </is>
      </c>
      <c r="E1" s="22" t="inlineStr">
        <is>
          <t>Исправление в v3.12</t>
        </is>
      </c>
      <c r="F1" s="22" t="inlineStr">
        <is>
          <t>Статус</t>
        </is>
      </c>
      <c r="G1" s="22" t="inlineStr">
        <is>
          <t>Остаточный техдолг</t>
        </is>
      </c>
    </row>
    <row r="2">
      <c r="A2" s="23" t="inlineStr">
        <is>
          <t>G2177-N01</t>
        </is>
      </c>
      <c r="B2" s="23" t="inlineStr">
        <is>
          <t>P0</t>
        </is>
      </c>
      <c r="C2" s="23" t="inlineStr">
        <is>
          <t>Действующая база: ГОСТ 2177-99 с Изм. №1; зарегистрированная поправка к изменению введена 14.06.2023.</t>
        </is>
      </c>
      <c r="D2" s="23" t="inlineStr">
        <is>
          <t>В книге указан только ГОСТ 2177-99.</t>
        </is>
      </c>
      <c r="E2" s="23" t="inlineStr">
        <is>
          <t>Метаданные обновлены до актуальной редакции.</t>
        </is>
      </c>
      <c r="F2" s="23" t="inlineStr">
        <is>
          <t>ИСПРАВЛЕНО</t>
        </is>
      </c>
      <c r="G2" s="23" t="inlineStr">
        <is>
          <t>Хранить контролируемую локальную копию НД и hash.</t>
        </is>
      </c>
    </row>
    <row r="3">
      <c r="A3" s="23" t="inlineStr">
        <is>
          <t>G2177-N02</t>
        </is>
      </c>
      <c r="B3" s="23" t="inlineStr">
        <is>
          <t>P0</t>
        </is>
      </c>
      <c r="C3" s="23" t="inlineStr">
        <is>
          <t>Изм. №1 заменяет ссылки ГОСТ 2477-65→2477-2014 и ГОСТ 2517-85→2517-2012.</t>
        </is>
      </c>
      <c r="D3" s="23" t="inlineStr">
        <is>
          <t>Ссылочный состав в книге явно не фиксировался.</t>
        </is>
      </c>
      <c r="E3" s="23" t="inlineStr">
        <is>
          <t>В аудите зафиксирована актуальная ссылка на изменения.</t>
        </is>
      </c>
      <c r="F3" s="23" t="inlineStr">
        <is>
          <t>ИСПРАВЛЕНО</t>
        </is>
      </c>
      <c r="G3" s="23" t="inlineStr">
        <is>
          <t>Добавить отдельный реестр ссылочных НД с версиями.</t>
        </is>
      </c>
    </row>
    <row r="4">
      <c r="A4" s="23" t="inlineStr">
        <is>
          <t>G2177-N03</t>
        </is>
      </c>
      <c r="B4" s="23" t="inlineStr">
        <is>
          <t>P0</t>
        </is>
      </c>
      <c r="C4" s="23" t="inlineStr">
        <is>
          <t>Поправка температуры: C = 0,0000009·(101,3·10^3−Pb)·(273+t), эквивалентно 0,0009·(101,3−p_kPa)·(273+t).</t>
        </is>
      </c>
      <c r="D4" s="23" t="inlineStr">
        <is>
          <t>В Excel использовалась kPa-форма 0,0009, математически эквивалентная нормативной.</t>
        </is>
      </c>
      <c r="E4" s="23" t="inlineStr">
        <is>
          <t>Формулу не меняли без необходимости; эквивалентность документирована.</t>
        </is>
      </c>
      <c r="F4" s="23" t="inlineStr">
        <is>
          <t>ИСПРАВЛЕНО</t>
        </is>
      </c>
      <c r="G4" s="23" t="inlineStr">
        <is>
          <t>Добавить автоматический unit-test обеих форм.</t>
        </is>
      </c>
    </row>
    <row r="5">
      <c r="A5" s="23" t="inlineStr">
        <is>
          <t>G2177-N04</t>
        </is>
      </c>
      <c r="B5" s="23" t="inlineStr">
        <is>
          <t>P0</t>
        </is>
      </c>
      <c r="C5" s="23" t="inlineStr">
        <is>
          <t>После коррекции давления каждое значение округляется до 0,5 °C и затем используется далее.</t>
        </is>
      </c>
      <c r="D5" s="23" t="inlineStr">
        <is>
          <t>В v3.11 это выполнялось через MROUND.</t>
        </is>
      </c>
      <c r="E5" s="23" t="inlineStr">
        <is>
          <t>Сохранено и подтверждено аудитом.</t>
        </is>
      </c>
      <c r="F5" s="23" t="inlineStr">
        <is>
          <t>ИСПРАВЛЕНО</t>
        </is>
      </c>
      <c r="G5" s="23" t="inlineStr">
        <is>
          <t>Добавить тест на граничные значения округления.</t>
        </is>
      </c>
    </row>
    <row r="6">
      <c r="A6" s="23" t="inlineStr">
        <is>
          <t>G2177-N05</t>
        </is>
      </c>
      <c r="B6" s="23" t="inlineStr">
        <is>
          <t>P0</t>
        </is>
      </c>
      <c r="C6" s="23" t="inlineStr">
        <is>
          <t>Для группы 1 при потерях ≥2 % требуется обработка по объёму выпаривания; экстраполяция запрещена.</t>
        </is>
      </c>
      <c r="D6" s="23" t="inlineStr">
        <is>
          <t>Ветка была реализована, но нормативное решение не было отделено от общего расчёта.</t>
        </is>
      </c>
      <c r="E6" s="23" t="inlineStr">
        <is>
          <t>Аудит фиксирует отдельный контроль режима.</t>
        </is>
      </c>
      <c r="F6" s="23" t="inlineStr">
        <is>
          <t>ЧАСТИЧНО</t>
        </is>
      </c>
      <c r="G6" s="23" t="inlineStr">
        <is>
          <t>Добавить автоматический контроль доступности соседних точек и запрет extrapolation.</t>
        </is>
      </c>
    </row>
    <row r="7">
      <c r="A7" s="23" t="inlineStr">
        <is>
          <t>G2177-N06</t>
        </is>
      </c>
      <c r="B7" s="23" t="inlineStr">
        <is>
          <t>P0</t>
        </is>
      </c>
      <c r="C7" s="23" t="inlineStr">
        <is>
          <t>5.5.9: при необходимости по спецификации потери корректируются к 101,3 kPa по Vк=AL+B; скорректированные данные входят в отчёт.</t>
        </is>
      </c>
      <c r="D7" s="23" t="inlineStr">
        <is>
          <t>Расчёт присутствует, но условие применимости к спецификации не вводится.</t>
        </is>
      </c>
      <c r="E7" s="23" t="inlineStr">
        <is>
          <t>Расчёт сохранён; добавлен нормативный audit trail.</t>
        </is>
      </c>
      <c r="F7" s="23" t="inlineStr">
        <is>
          <t>ЧАСТИЧНО</t>
        </is>
      </c>
      <c r="G7" s="23" t="inlineStr">
        <is>
          <t>Добавить переключатель 'требуется коррекция потерь спецификацией' и report decision.</t>
        </is>
      </c>
    </row>
    <row r="8">
      <c r="A8" s="23" t="inlineStr">
        <is>
          <t>G2177-N07</t>
        </is>
      </c>
      <c r="B8" s="23" t="inlineStr">
        <is>
          <t>P0</t>
        </is>
      </c>
      <c r="C8" s="23" t="inlineStr">
        <is>
          <t>Таблица 4 задаёт A/B в диапазоне 560–760 mm Hg.</t>
        </is>
      </c>
      <c r="D8" s="23" t="inlineStr">
        <is>
          <t>MATCH фактически выбирал нижнюю строку таблицы для давления между табличными точками.</t>
        </is>
      </c>
      <c r="E8" s="23" t="inlineStr">
        <is>
          <t>Добавлен диапазонный guard; silent extrapolation вне диапазона запрещена.</t>
        </is>
      </c>
      <c r="F8" s="23" t="inlineStr">
        <is>
          <t>ИСПРАВЛЕНО</t>
        </is>
      </c>
      <c r="G8" s="23" t="inlineStr">
        <is>
          <t>Формально зафиксировать политику интерполяции A/B для нетабличного давления в SOP.</t>
        </is>
      </c>
    </row>
    <row r="9">
      <c r="A9" s="23" t="inlineStr">
        <is>
          <t>G2177-N08</t>
        </is>
      </c>
      <c r="B9" s="23" t="inlineStr">
        <is>
          <t>P0</t>
        </is>
      </c>
      <c r="C9" s="23" t="inlineStr">
        <is>
          <t>5.6.3: скорость изменения в точке определяется по двум равноотстоящим точкам ниже и выше.</t>
        </is>
      </c>
      <c r="D9" s="23" t="inlineStr">
        <is>
          <t>Для 90 и 95 % использовались несимметричные интервалы.</t>
        </is>
      </c>
      <c r="E9" s="23" t="inlineStr">
        <is>
          <t>Исправлены S20 (85–95) и S21 (90–100).</t>
        </is>
      </c>
      <c r="F9" s="23" t="inlineStr">
        <is>
          <t>ИСПРАВЛЕНО</t>
        </is>
      </c>
      <c r="G9" s="23" t="inlineStr">
        <is>
          <t>Добавить regression tests на 10–90/95 %.</t>
        </is>
      </c>
    </row>
    <row r="10">
      <c r="A10" s="23" t="inlineStr">
        <is>
          <t>G2177-N09</t>
        </is>
      </c>
      <c r="B10" s="23" t="inlineStr">
        <is>
          <t>P1</t>
        </is>
      </c>
      <c r="C10" s="23" t="inlineStr">
        <is>
          <t>Сходимость и воспроизводимость определяются отдельно; воспроизводимость относится к разным лабораториям.</t>
        </is>
      </c>
      <c r="D10" s="23" t="inlineStr">
        <is>
          <t>Книга рассчитывала r и R, но итоговый статус использовал только r.</t>
        </is>
      </c>
      <c r="E10" s="23" t="inlineStr">
        <is>
          <t>Это не арифметическая ошибка для двух повторов одного исполнителя, но может вводить в заблуждение.</t>
        </is>
      </c>
      <c r="F10" s="23" t="inlineStr">
        <is>
          <t>ЧАСТИЧНО</t>
        </is>
      </c>
      <c r="G10" s="23" t="inlineStr">
        <is>
          <t>Развести решения repeatability и reproducibility в отчёте.</t>
        </is>
      </c>
    </row>
    <row r="11">
      <c r="A11" s="23" t="inlineStr">
        <is>
          <t>G2177-N10</t>
        </is>
      </c>
      <c r="B11" s="23" t="inlineStr">
        <is>
          <t>P0</t>
        </is>
      </c>
      <c r="C11" s="23" t="inlineStr">
        <is>
          <t>Измерения объёмов и температур должны иметь нормативную точность; барометр 0,05 kPa.</t>
        </is>
      </c>
      <c r="D11" s="23" t="inlineStr">
        <is>
          <t>Поле ввода не проверяет метрологический статус средств измерений.</t>
        </is>
      </c>
      <c r="E11" s="23" t="inlineStr">
        <is>
          <t>Добавлено нормативное требование в audit layer.</t>
        </is>
      </c>
      <c r="F11" s="23" t="inlineStr">
        <is>
          <t>ЧАСТИЧНО</t>
        </is>
      </c>
      <c r="G11" s="23" t="inlineStr">
        <is>
          <t>Добавить ID СИ, поверку/калибровку и uncertainty.</t>
        </is>
      </c>
    </row>
    <row r="12">
      <c r="A12" s="23" t="inlineStr">
        <is>
          <t>G2177-N11</t>
        </is>
      </c>
      <c r="B12" s="23" t="inlineStr">
        <is>
          <t>P1</t>
        </is>
      </c>
      <c r="C12" s="23" t="inlineStr">
        <is>
          <t>Отбор проб и кипелки/аппаратура/позиционирование термометра входят в процедуру метода.</t>
        </is>
      </c>
      <c r="D12" s="23" t="inlineStr">
        <is>
          <t>В книге эти условия не контролируются.</t>
        </is>
      </c>
      <c r="E12" s="23" t="inlineStr">
        <is>
          <t>Требования зафиксированы в аудите.</t>
        </is>
      </c>
      <c r="F12" s="23" t="inlineStr">
        <is>
          <t>ТЕХДОЛГ</t>
        </is>
      </c>
      <c r="G12" s="23" t="inlineStr">
        <is>
          <t>Добавить чек-лист процедуры 5.1–5.4.</t>
        </is>
      </c>
    </row>
    <row r="13">
      <c r="A13" s="23" t="inlineStr">
        <is>
          <t>G2177-N12</t>
        </is>
      </c>
      <c r="B13" s="23" t="inlineStr">
        <is>
          <t>P1</t>
        </is>
      </c>
      <c r="C13" s="23" t="inlineStr">
        <is>
          <t>Приложение А содержит отдельный автоматический метод.</t>
        </is>
      </c>
      <c r="D13" s="23" t="inlineStr">
        <is>
          <t>Текущая книга позиционируется как ручной метод А.</t>
        </is>
      </c>
      <c r="E13" s="23" t="inlineStr">
        <is>
          <t>Ручной метод оставлен отдельным; автоматический не смешан с ним.</t>
        </is>
      </c>
      <c r="F13" s="23" t="inlineStr">
        <is>
          <t>ИСПРАВЛЕНО</t>
        </is>
      </c>
      <c r="G13" s="23" t="inlineStr">
        <is>
          <t>Отдельная книга/модуль для Приложения А при необходимости.</t>
        </is>
      </c>
    </row>
  </sheetData>
  <autoFilter ref="A1:G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58" customWidth="1" min="3" max="3"/>
    <col width="52" customWidth="1" min="4" max="4"/>
    <col width="60" customWidth="1" min="5" max="5"/>
    <col width="18" customWidth="1" min="6" max="6"/>
    <col width="48" customWidth="1" min="7" max="7"/>
  </cols>
  <sheetData>
    <row r="1">
      <c r="A1" s="22" t="inlineStr">
        <is>
          <t>ID</t>
        </is>
      </c>
      <c r="B1" s="22" t="inlineStr">
        <is>
          <t>Приоритет</t>
        </is>
      </c>
      <c r="C1" s="22" t="inlineStr">
        <is>
          <t>Долг</t>
        </is>
      </c>
      <c r="D1" s="22" t="inlineStr">
        <is>
          <t>Почему не блокирует текущий расчёт</t>
        </is>
      </c>
      <c r="E1" s="22" t="inlineStr">
        <is>
          <t>Критерий закрытия</t>
        </is>
      </c>
    </row>
    <row r="2">
      <c r="A2" s="23" t="inlineStr">
        <is>
          <t>TD-2177-001</t>
        </is>
      </c>
      <c r="B2" s="23" t="inlineStr">
        <is>
          <t>P1</t>
        </is>
      </c>
      <c r="C2" s="23" t="inlineStr">
        <is>
          <t>Синхронизация workbook с fraction_lib/generator</t>
        </is>
      </c>
      <c r="D2" s="23" t="inlineStr">
        <is>
          <t>Исправления сделаны в производной книге.</t>
        </is>
      </c>
      <c r="E2" s="23" t="inlineStr">
        <is>
          <t>Генератор воспроизводит v3.12 и regression tests проходят.</t>
        </is>
      </c>
    </row>
    <row r="3">
      <c r="A3" s="23" t="inlineStr">
        <is>
          <t>TD-2177-002</t>
        </is>
      </c>
      <c r="B3" s="23" t="inlineStr">
        <is>
          <t>P1</t>
        </is>
      </c>
      <c r="C3" s="23" t="inlineStr">
        <is>
          <t>Политика A/B для давления между табличными точками</t>
        </is>
      </c>
      <c r="D3" s="23" t="inlineStr">
        <is>
          <t>Таблица 4 покрывает диапазон, но НД не следует молча интерпретировать как произвольную interpolation policy.</t>
        </is>
      </c>
      <c r="E3" s="23" t="inlineStr">
        <is>
          <t>SOP фиксирует и тестирует выбранную процедуру.</t>
        </is>
      </c>
    </row>
    <row r="4">
      <c r="A4" s="23" t="inlineStr">
        <is>
          <t>TD-2177-003</t>
        </is>
      </c>
      <c r="B4" s="23" t="inlineStr">
        <is>
          <t>P1</t>
        </is>
      </c>
      <c r="C4" s="23" t="inlineStr">
        <is>
          <t>Независимая валидация цифровой номограммы рисунка 6</t>
        </is>
      </c>
      <c r="D4" s="23" t="inlineStr">
        <is>
          <t>Оцифровка не заменяет первичный рисунок/контролируемый источник.</t>
        </is>
      </c>
      <c r="E4" s="23" t="inlineStr">
        <is>
          <t>Контрольные точки проверены вторым независимым источником.</t>
        </is>
      </c>
    </row>
    <row r="5">
      <c r="A5" s="23" t="inlineStr">
        <is>
          <t>TD-2177-004</t>
        </is>
      </c>
      <c r="B5" s="23" t="inlineStr">
        <is>
          <t>P1</t>
        </is>
      </c>
      <c r="C5" s="23" t="inlineStr">
        <is>
          <t>Автоматический запрет extrapolation в 5.5.8</t>
        </is>
      </c>
      <c r="D5" s="23" t="inlineStr">
        <is>
          <t>Нужны реальные соседние точки и решение по заданному проценту.</t>
        </is>
      </c>
      <c r="E5" s="23" t="inlineStr">
        <is>
          <t>При отсутствии обеих соседних точек статус блокирует расчёт.</t>
        </is>
      </c>
    </row>
    <row r="6">
      <c r="A6" s="23" t="inlineStr">
        <is>
          <t>TD-2177-005</t>
        </is>
      </c>
      <c r="B6" s="23" t="inlineStr">
        <is>
          <t>P1</t>
        </is>
      </c>
      <c r="C6" s="23" t="inlineStr">
        <is>
          <t>Раздельные решения r/R</t>
        </is>
      </c>
      <c r="D6" s="23" t="inlineStr">
        <is>
          <t>Одна лаборатория не может получить reproducibility decision из одного повтора.</t>
        </is>
      </c>
      <c r="E6" s="23" t="inlineStr">
        <is>
          <t>Report имеет отдельные repeatability/reproducibility sections.</t>
        </is>
      </c>
    </row>
    <row r="7">
      <c r="A7" s="23" t="inlineStr">
        <is>
          <t>TD-2177-006</t>
        </is>
      </c>
      <c r="B7" s="23" t="inlineStr">
        <is>
          <t>P1</t>
        </is>
      </c>
      <c r="C7" s="23" t="inlineStr">
        <is>
          <t>Процедурный checklist метода</t>
        </is>
      </c>
      <c r="D7" s="23" t="inlineStr">
        <is>
          <t>Арифметика не доказывает соблюдение условий перегонки.</t>
        </is>
      </c>
      <c r="E7" s="23" t="inlineStr">
        <is>
          <t>Все обязательные пункты 5.1–5.5 имеют ввод и PASS/FAIL.</t>
        </is>
      </c>
    </row>
    <row r="8">
      <c r="A8" s="23" t="inlineStr">
        <is>
          <t>TD-2177-007</t>
        </is>
      </c>
      <c r="B8" s="23" t="inlineStr">
        <is>
          <t>P2</t>
        </is>
      </c>
      <c r="C8" s="23" t="inlineStr">
        <is>
          <t>Полный uncertainty model</t>
        </is>
      </c>
      <c r="D8" s="23" t="inlineStr">
        <is>
          <t>Precision limits из НД не являются GUM uncertainty budget.</t>
        </is>
      </c>
      <c r="E8" s="23" t="inlineStr">
        <is>
          <t>Validated Type A/B model с трассируемыми input quantities.</t>
        </is>
      </c>
    </row>
    <row r="9">
      <c r="A9" s="23" t="inlineStr">
        <is>
          <t>TD-2177-008</t>
        </is>
      </c>
      <c r="B9" s="23" t="inlineStr">
        <is>
          <t>P2</t>
        </is>
      </c>
      <c r="C9" s="23" t="inlineStr">
        <is>
          <t>Реестр НД и контролируемых редакций</t>
        </is>
      </c>
      <c r="D9" s="23" t="inlineStr">
        <is>
          <t>Веб-источники меняются, а лабораторный результат должен быть воспроизводим.</t>
        </is>
      </c>
      <c r="E9" s="23" t="inlineStr">
        <is>
          <t>Хранятся обозначение, редакция, дата, источник и hash.</t>
        </is>
      </c>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КОНТРАКТ fraction_lib ↔ книга (сгенерировано excel_generator)</t>
        </is>
      </c>
    </row>
    <row r="2">
      <c r="A2" t="inlineStr">
        <is>
          <t>Дата:</t>
        </is>
      </c>
      <c r="B2" t="inlineStr">
        <is>
          <t>2026-10-07</t>
        </is>
      </c>
    </row>
    <row r="3">
      <c r="A3" t="inlineStr">
        <is>
          <t>Метод:</t>
        </is>
      </c>
      <c r="B3" t="inlineStr">
        <is>
          <t>gost2177</t>
        </is>
      </c>
      <c r="C3" t="inlineStr">
        <is>
          <t>Книга-источник:</t>
        </is>
      </c>
      <c r="D3" t="inlineStr">
        <is>
          <t>ГОСТ_2177_метод_А_v3.12_нормативно_аудированный.xlsx</t>
        </is>
      </c>
    </row>
    <row r="4">
      <c r="A4" t="inlineStr"/>
    </row>
    <row r="5">
      <c r="A5">
        <f>= 1. Нормативные константы библиотеки ==</f>
        <v/>
      </c>
    </row>
    <row r="6">
      <c r="A6" t="inlineStr">
        <is>
          <t>GOST2177_PRESSURE_RANGE (мм рт.ст.):</t>
        </is>
      </c>
      <c r="B6" t="n">
        <v>560</v>
      </c>
      <c r="C6" t="n">
        <v>760</v>
      </c>
    </row>
    <row r="7">
      <c r="A7" t="inlineStr">
        <is>
          <t>GOST2177_EXTRAPOLATION_MAX_PCT:</t>
        </is>
      </c>
      <c r="B7" t="n">
        <v>95</v>
      </c>
    </row>
    <row r="8">
      <c r="A8" t="inlineStr">
        <is>
          <t>GOST2177_TABLE4_POLICY_DEFAULT:</t>
        </is>
      </c>
      <c r="B8" t="inlineStr">
        <is>
          <t>strict</t>
        </is>
      </c>
    </row>
    <row r="9">
      <c r="A9" t="inlineStr">
        <is>
          <t>Строк Таблицы 4:</t>
        </is>
      </c>
      <c r="B9" t="n">
        <v>21</v>
      </c>
    </row>
    <row r="10">
      <c r="A10" t="inlineStr"/>
    </row>
    <row r="11">
      <c r="A11">
        <f>= 2. Входные данные листа «Ввод» (эталон прогона) ==</f>
        <v/>
      </c>
    </row>
    <row r="12">
      <c r="A12" t="inlineStr">
        <is>
          <t>P, мм рт.ст.:</t>
        </is>
      </c>
      <c r="B12" t="n">
        <v>700</v>
      </c>
      <c r="C12" t="inlineStr">
        <is>
          <t>| Группа/тип:</t>
        </is>
      </c>
      <c r="D12" t="inlineStr">
        <is>
          <t>1</t>
        </is>
      </c>
      <c r="E12" t="inlineStr">
        <is>
          <t>| Объём пробы, мл:</t>
        </is>
      </c>
      <c r="F12" t="n">
        <v>100</v>
      </c>
    </row>
    <row r="13">
      <c r="A13" t="inlineStr">
        <is>
          <t>Потери, %:</t>
        </is>
      </c>
      <c r="B13" t="n">
        <v>0.5</v>
      </c>
      <c r="C13" t="inlineStr">
        <is>
          <t>| Остаток, %:</t>
        </is>
      </c>
      <c r="D13" t="n">
        <v>1</v>
      </c>
    </row>
    <row r="14">
      <c r="A14" t="inlineStr">
        <is>
          <t>% отгона</t>
        </is>
      </c>
      <c r="B14" t="inlineStr">
        <is>
          <t>T_набл, °C</t>
        </is>
      </c>
    </row>
    <row r="15">
      <c r="A15" t="n">
        <v>0</v>
      </c>
      <c r="B15" t="n">
        <v>131</v>
      </c>
    </row>
    <row r="16">
      <c r="A16" t="n">
        <v>5</v>
      </c>
      <c r="B16" t="n">
        <v>152.5</v>
      </c>
    </row>
    <row r="17">
      <c r="A17" t="n">
        <v>10</v>
      </c>
      <c r="B17" t="n">
        <v>158.25</v>
      </c>
    </row>
    <row r="18">
      <c r="A18" t="n">
        <v>15</v>
      </c>
      <c r="B18" t="n">
        <v>163</v>
      </c>
    </row>
    <row r="19">
      <c r="A19" t="n">
        <v>20</v>
      </c>
      <c r="B19" t="n">
        <v>168.5</v>
      </c>
    </row>
    <row r="20">
      <c r="A20" t="n">
        <v>25</v>
      </c>
      <c r="B20" t="n">
        <v>171</v>
      </c>
    </row>
    <row r="21">
      <c r="A21" t="n">
        <v>30</v>
      </c>
      <c r="B21" t="n">
        <v>173.5</v>
      </c>
    </row>
    <row r="22">
      <c r="A22" t="n">
        <v>35</v>
      </c>
      <c r="B22" t="n">
        <v>176</v>
      </c>
    </row>
    <row r="23">
      <c r="A23" t="n">
        <v>40</v>
      </c>
      <c r="B23" t="n">
        <v>179.75</v>
      </c>
    </row>
    <row r="24">
      <c r="A24" t="n">
        <v>45</v>
      </c>
      <c r="B24" t="n">
        <v>182</v>
      </c>
    </row>
    <row r="25">
      <c r="A25" t="n">
        <v>50</v>
      </c>
      <c r="B25" t="n">
        <v>185.5</v>
      </c>
    </row>
    <row r="26">
      <c r="A26" t="n">
        <v>55</v>
      </c>
      <c r="B26" t="n">
        <v>188</v>
      </c>
    </row>
    <row r="27">
      <c r="A27" t="n">
        <v>60</v>
      </c>
      <c r="B27" t="n">
        <v>191.75</v>
      </c>
    </row>
    <row r="28">
      <c r="A28" t="n">
        <v>65</v>
      </c>
      <c r="B28" t="n">
        <v>195</v>
      </c>
    </row>
    <row r="29">
      <c r="A29" t="n">
        <v>70</v>
      </c>
      <c r="B29" t="n">
        <v>198.5</v>
      </c>
    </row>
    <row r="30">
      <c r="A30" t="n">
        <v>75</v>
      </c>
      <c r="B30" t="n">
        <v>201</v>
      </c>
    </row>
    <row r="31">
      <c r="A31" t="n">
        <v>80</v>
      </c>
      <c r="B31" t="n">
        <v>206.5</v>
      </c>
    </row>
    <row r="32">
      <c r="A32" t="n">
        <v>85</v>
      </c>
      <c r="B32" t="n">
        <v>211</v>
      </c>
    </row>
    <row r="33">
      <c r="A33" t="n">
        <v>90</v>
      </c>
      <c r="B33" t="n">
        <v>216.5</v>
      </c>
    </row>
    <row r="34">
      <c r="A34" t="n">
        <v>95</v>
      </c>
      <c r="B34" t="n">
        <v>224</v>
      </c>
    </row>
    <row r="35">
      <c r="A35" t="n">
        <v>100</v>
      </c>
      <c r="B35" t="n">
        <v>234.25</v>
      </c>
    </row>
    <row r="36">
      <c r="A36" t="inlineStr"/>
    </row>
    <row r="37">
      <c r="A37">
        <f>= 3. Канонические формулы крутизны S(p) (п.5.6.3 / A4.3) ==</f>
        <v/>
      </c>
    </row>
    <row r="38">
      <c r="A38" t="inlineStr">
        <is>
          <t>% отгона</t>
        </is>
      </c>
      <c r="B38" t="inlineStr">
        <is>
          <t>Формула (строчки листа Расчёт v3.12)</t>
        </is>
      </c>
      <c r="C38" t="inlineStr">
        <is>
          <t>S_ref (fraction_lib)</t>
        </is>
      </c>
    </row>
    <row r="39">
      <c r="A39" t="n">
        <v>0</v>
      </c>
      <c r="B39">
        <f>ABS(F3-F2)/(A3-A2)   # IBP: интервал 0-&gt;5</f>
        <v/>
      </c>
      <c r="C39" t="n">
        <v>4.330959999999999</v>
      </c>
    </row>
    <row r="40">
      <c r="A40" t="n">
        <v>5</v>
      </c>
      <c r="B40">
        <f>ABS(F4-F2)/(A4-A2)   # соседи 0..10%</f>
        <v/>
      </c>
      <c r="C40" t="n">
        <v>2.744619999999998</v>
      </c>
    </row>
    <row r="41">
      <c r="A41" t="n">
        <v>10</v>
      </c>
      <c r="B41">
        <f>ABS(F5-F3)/(A5-A3)   # соседи 5..15%</f>
        <v/>
      </c>
      <c r="C41" t="n">
        <v>1.057559999999998</v>
      </c>
    </row>
    <row r="42">
      <c r="A42" t="n">
        <v>15</v>
      </c>
      <c r="B42">
        <f>ABS(F6-F4)/(A6-A4)   # соседи 10..20%</f>
        <v/>
      </c>
      <c r="C42" t="n">
        <v>1.032380000000001</v>
      </c>
    </row>
    <row r="43">
      <c r="A43" t="n">
        <v>20</v>
      </c>
      <c r="B43">
        <f>ABS(F7-F5)/(A7-A5)   # соседи 15..25%</f>
        <v/>
      </c>
      <c r="C43" t="n">
        <v>0.8057600000000008</v>
      </c>
    </row>
    <row r="44">
      <c r="A44" t="n">
        <v>25</v>
      </c>
      <c r="B44">
        <f>ABS(F8-F6)/(A8-A6)   # соседи 20..30%</f>
        <v/>
      </c>
      <c r="C44" t="n">
        <v>0.5036000000000002</v>
      </c>
    </row>
    <row r="45">
      <c r="A45" t="n">
        <v>30</v>
      </c>
      <c r="B45">
        <f>ABS(F9-F7)/(A9-A7)   # соседи 25..35%</f>
        <v/>
      </c>
      <c r="C45" t="n">
        <v>0.5036000000000002</v>
      </c>
    </row>
    <row r="46">
      <c r="A46" t="n">
        <v>35</v>
      </c>
      <c r="B46">
        <f>ABS(F10-F8)/(A10-A8)   # соседи 30..40%</f>
        <v/>
      </c>
      <c r="C46" t="n">
        <v>0.6295000000000016</v>
      </c>
    </row>
    <row r="47">
      <c r="A47" t="n">
        <v>40</v>
      </c>
      <c r="B47">
        <f>ABS(F11-F9)/(A11-A9)   # соседи 35..45%</f>
        <v/>
      </c>
      <c r="C47" t="n">
        <v>0.6043200000000013</v>
      </c>
    </row>
    <row r="48">
      <c r="A48" t="n">
        <v>45</v>
      </c>
      <c r="B48">
        <f>ABS(F12-F10)/(A12-A10)   # соседи 40..50%</f>
        <v/>
      </c>
      <c r="C48" t="n">
        <v>0.5791399999999982</v>
      </c>
    </row>
    <row r="49">
      <c r="A49" t="n">
        <v>50</v>
      </c>
      <c r="B49">
        <f>ABS(F13-F11)/(A13-A11)   # соседи 45..55%</f>
        <v/>
      </c>
      <c r="C49" t="n">
        <v>0.6043199999999984</v>
      </c>
    </row>
    <row r="50">
      <c r="A50" t="n">
        <v>55</v>
      </c>
      <c r="B50">
        <f>ABS(F14-F12)/(A14-A12)   # соседи 50..60%</f>
        <v/>
      </c>
      <c r="C50" t="n">
        <v>0.6295000000000016</v>
      </c>
    </row>
    <row r="51">
      <c r="A51" t="n">
        <v>60</v>
      </c>
      <c r="B51">
        <f>ABS(F15-F13)/(A15-A13)   # соседи 55..65%</f>
        <v/>
      </c>
      <c r="C51" t="n">
        <v>0.7050399999999997</v>
      </c>
    </row>
    <row r="52">
      <c r="A52" t="n">
        <v>65</v>
      </c>
      <c r="B52">
        <f>ABS(F16-F14)/(A16-A14)   # соседи 60..70%</f>
        <v/>
      </c>
      <c r="C52" t="n">
        <v>0.6798599999999994</v>
      </c>
    </row>
    <row r="53">
      <c r="A53" t="n">
        <v>70</v>
      </c>
      <c r="B53">
        <f>ABS(F17-F15)/(A17-A15)   # соседи 65..75%</f>
        <v/>
      </c>
      <c r="C53" t="n">
        <v>0.6043200000000013</v>
      </c>
    </row>
    <row r="54">
      <c r="A54" t="n">
        <v>75</v>
      </c>
      <c r="B54">
        <f>ABS(F18-F16)/(A18-A16)   # соседи 70..80%</f>
        <v/>
      </c>
      <c r="C54" t="n">
        <v>0.8057600000000008</v>
      </c>
    </row>
    <row r="55">
      <c r="A55" t="n">
        <v>80</v>
      </c>
      <c r="B55">
        <f>ABS(F19-F17)/(A19-A17)   # соседи 75..85%</f>
        <v/>
      </c>
      <c r="C55" t="n">
        <v>1.0072</v>
      </c>
    </row>
    <row r="56">
      <c r="A56" t="n">
        <v>85</v>
      </c>
      <c r="B56">
        <f>ABS(F20-F18)/(A20-A18)   # соседи 80..90%</f>
        <v/>
      </c>
      <c r="C56" t="n">
        <v>1.0072</v>
      </c>
    </row>
    <row r="57">
      <c r="A57" t="n">
        <v>90</v>
      </c>
      <c r="B57">
        <f>ABS(F21-F19)/(A21-A19)   # соседи 85..95%   # исправлено v3.12: было 85-90, по 5.6.3 нужно 85-95</f>
        <v/>
      </c>
      <c r="C57" t="n">
        <v>1.309359999999998</v>
      </c>
    </row>
    <row r="58">
      <c r="A58" t="n">
        <v>95</v>
      </c>
      <c r="B58">
        <f>ABS(F22-F20)/(A22-A20)   # соседи 90..100%   # исправлено v3.12: было 90-95, по 5.6.3 нужно 90-100</f>
        <v/>
      </c>
      <c r="C58" t="n">
        <v>1.787779999999998</v>
      </c>
    </row>
    <row r="59">
      <c r="A59" t="n">
        <v>100</v>
      </c>
      <c r="B59">
        <f>ABS(F22-F21)/(A22-A21)   # КК: последний интервал 95-&gt;100</f>
        <v/>
      </c>
      <c r="C59" t="n">
        <v>2.064760000000001</v>
      </c>
    </row>
    <row r="60">
      <c r="A60" t="inlineStr"/>
    </row>
    <row r="61">
      <c r="A61">
        <f>= 4. Эталонный результат fraction_lib ==</f>
        <v/>
      </c>
    </row>
    <row r="62">
      <c r="A62" t="inlineStr">
        <is>
          <t>Loss_скорр, %:</t>
        </is>
      </c>
      <c r="B62" t="n">
        <v>0.5</v>
      </c>
      <c r="C62" t="inlineStr">
        <is>
          <t>| Residue, %:</t>
        </is>
      </c>
      <c r="D62" t="n">
        <v>1</v>
      </c>
    </row>
    <row r="63">
      <c r="A63" t="inlineStr">
        <is>
          <t>% отгона</t>
        </is>
      </c>
      <c r="B63" t="inlineStr">
        <is>
          <t>T_corr_ref</t>
        </is>
      </c>
      <c r="C63" t="inlineStr">
        <is>
          <t>slope_ref</t>
        </is>
      </c>
      <c r="D63" t="inlineStr">
        <is>
          <t>r_ref</t>
        </is>
      </c>
      <c r="E63" t="inlineStr">
        <is>
          <t>R_ref</t>
        </is>
      </c>
    </row>
    <row r="64">
      <c r="A64" t="inlineStr">
        <is>
          <t>0</t>
        </is>
      </c>
      <c r="B64" t="n">
        <v>133.9088</v>
      </c>
      <c r="C64" t="n">
        <v>4.330959999999999</v>
      </c>
      <c r="D64" t="n">
        <v>1.269040000000001</v>
      </c>
      <c r="E64" t="n">
        <v>3.069040000000001</v>
      </c>
    </row>
    <row r="65">
      <c r="A65" t="inlineStr">
        <is>
          <t>5</t>
        </is>
      </c>
      <c r="B65" t="n">
        <v>155.5636</v>
      </c>
      <c r="C65" t="n">
        <v>2.744619999999998</v>
      </c>
      <c r="D65" t="n">
        <v>2.055380000000003</v>
      </c>
      <c r="E65" t="n">
        <v>4.655380000000003</v>
      </c>
    </row>
    <row r="66">
      <c r="A66" t="inlineStr">
        <is>
          <t>10</t>
        </is>
      </c>
      <c r="B66" t="n">
        <v>161.355</v>
      </c>
      <c r="C66" t="n">
        <v>1.057559999999998</v>
      </c>
      <c r="D66" t="n">
        <v>2.442440000000002</v>
      </c>
      <c r="E66" t="n">
        <v>5.342440000000002</v>
      </c>
    </row>
    <row r="67">
      <c r="A67" t="inlineStr">
        <is>
          <t>15</t>
        </is>
      </c>
      <c r="B67" t="n">
        <v>166.1392</v>
      </c>
      <c r="C67" t="n">
        <v>1.032380000000001</v>
      </c>
      <c r="D67" t="n">
        <v>2.467619999999999</v>
      </c>
      <c r="E67" t="n">
        <v>5.36762</v>
      </c>
    </row>
    <row r="68">
      <c r="A68" t="inlineStr">
        <is>
          <t>20</t>
        </is>
      </c>
      <c r="B68" t="n">
        <v>171.6788</v>
      </c>
      <c r="C68" t="n">
        <v>0.8057600000000008</v>
      </c>
      <c r="D68" t="n">
        <v>2.594239999999999</v>
      </c>
      <c r="E68" t="n">
        <v>5.594239999999999</v>
      </c>
    </row>
    <row r="69">
      <c r="A69" t="inlineStr">
        <is>
          <t>25</t>
        </is>
      </c>
      <c r="B69" t="n">
        <v>174.1968</v>
      </c>
      <c r="C69" t="n">
        <v>0.5036000000000002</v>
      </c>
      <c r="D69" t="n">
        <v>2.7</v>
      </c>
      <c r="E69" t="n">
        <v>5.8964</v>
      </c>
    </row>
    <row r="70">
      <c r="A70" t="inlineStr">
        <is>
          <t>30</t>
        </is>
      </c>
      <c r="B70" t="n">
        <v>176.7148</v>
      </c>
      <c r="C70" t="n">
        <v>0.5036000000000002</v>
      </c>
      <c r="D70" t="n">
        <v>2.7</v>
      </c>
      <c r="E70" t="n">
        <v>5.8964</v>
      </c>
    </row>
    <row r="71">
      <c r="A71" t="inlineStr">
        <is>
          <t>35</t>
        </is>
      </c>
      <c r="B71" t="n">
        <v>179.2328</v>
      </c>
      <c r="C71" t="n">
        <v>0.6295000000000016</v>
      </c>
      <c r="D71" t="n">
        <v>2.670499999999998</v>
      </c>
      <c r="E71" t="n">
        <v>5.770499999999998</v>
      </c>
    </row>
    <row r="72">
      <c r="A72" t="inlineStr">
        <is>
          <t>40</t>
        </is>
      </c>
      <c r="B72" t="n">
        <v>183.0098</v>
      </c>
      <c r="C72" t="n">
        <v>0.6043200000000013</v>
      </c>
      <c r="D72" t="n">
        <v>2.695679999999999</v>
      </c>
      <c r="E72" t="n">
        <v>5.795679999999998</v>
      </c>
    </row>
    <row r="73">
      <c r="A73" t="inlineStr">
        <is>
          <t>45</t>
        </is>
      </c>
      <c r="B73" t="n">
        <v>185.276</v>
      </c>
      <c r="C73" t="n">
        <v>0.5791399999999982</v>
      </c>
      <c r="D73" t="n">
        <v>2.7</v>
      </c>
      <c r="E73" t="n">
        <v>5.820860000000001</v>
      </c>
    </row>
    <row r="74">
      <c r="A74" t="inlineStr">
        <is>
          <t>50</t>
        </is>
      </c>
      <c r="B74" t="n">
        <v>188.8012</v>
      </c>
      <c r="C74" t="n">
        <v>0.6043199999999984</v>
      </c>
      <c r="D74" t="n">
        <v>2.695680000000002</v>
      </c>
      <c r="E74" t="n">
        <v>5.795680000000002</v>
      </c>
    </row>
    <row r="75">
      <c r="A75" t="inlineStr">
        <is>
          <t>55</t>
        </is>
      </c>
      <c r="B75" t="n">
        <v>191.3192</v>
      </c>
      <c r="C75" t="n">
        <v>0.6295000000000016</v>
      </c>
      <c r="D75" t="n">
        <v>2.670499999999998</v>
      </c>
      <c r="E75" t="n">
        <v>5.770499999999998</v>
      </c>
    </row>
    <row r="76">
      <c r="A76" t="inlineStr">
        <is>
          <t>60</t>
        </is>
      </c>
      <c r="B76" t="n">
        <v>195.0962</v>
      </c>
      <c r="C76" t="n">
        <v>0.7050399999999997</v>
      </c>
      <c r="D76" t="n">
        <v>2.6</v>
      </c>
      <c r="E76" t="n">
        <v>5.69496</v>
      </c>
    </row>
    <row r="77">
      <c r="A77" t="inlineStr">
        <is>
          <t>65</t>
        </is>
      </c>
      <c r="B77" t="n">
        <v>198.3696</v>
      </c>
      <c r="C77" t="n">
        <v>0.6798599999999994</v>
      </c>
      <c r="D77" t="n">
        <v>2.620140000000001</v>
      </c>
      <c r="E77" t="n">
        <v>5.720140000000001</v>
      </c>
    </row>
    <row r="78">
      <c r="A78" t="inlineStr">
        <is>
          <t>70</t>
        </is>
      </c>
      <c r="B78" t="n">
        <v>201.8948</v>
      </c>
      <c r="C78" t="n">
        <v>0.6043200000000013</v>
      </c>
      <c r="D78" t="n">
        <v>2.695679999999999</v>
      </c>
      <c r="E78" t="n">
        <v>5.795679999999998</v>
      </c>
    </row>
    <row r="79">
      <c r="A79" t="inlineStr">
        <is>
          <t>75</t>
        </is>
      </c>
      <c r="B79" t="n">
        <v>204.4128</v>
      </c>
      <c r="C79" t="n">
        <v>0.8057600000000008</v>
      </c>
      <c r="D79" t="n">
        <v>2.594239999999999</v>
      </c>
      <c r="E79" t="n">
        <v>5.594239999999999</v>
      </c>
    </row>
    <row r="80">
      <c r="A80" t="inlineStr">
        <is>
          <t>80</t>
        </is>
      </c>
      <c r="B80" t="n">
        <v>209.9524</v>
      </c>
      <c r="C80" t="n">
        <v>1.0072</v>
      </c>
      <c r="D80" t="n">
        <v>2.4928</v>
      </c>
      <c r="E80" t="n">
        <v>5.3928</v>
      </c>
    </row>
    <row r="81">
      <c r="A81" t="inlineStr">
        <is>
          <t>85</t>
        </is>
      </c>
      <c r="B81" t="n">
        <v>214.4848</v>
      </c>
      <c r="C81" t="n">
        <v>1.0072</v>
      </c>
      <c r="D81" t="n">
        <v>2.4928</v>
      </c>
      <c r="E81" t="n">
        <v>5.3928</v>
      </c>
    </row>
    <row r="82">
      <c r="A82" t="inlineStr">
        <is>
          <t>90</t>
        </is>
      </c>
      <c r="B82" t="n">
        <v>220.0244</v>
      </c>
      <c r="C82" t="n">
        <v>1.309359999999998</v>
      </c>
      <c r="D82" t="n">
        <v>2.337439999999992</v>
      </c>
      <c r="E82" t="n">
        <v>5.184239999999982</v>
      </c>
    </row>
    <row r="83">
      <c r="A83" t="inlineStr">
        <is>
          <t>95</t>
        </is>
      </c>
      <c r="B83" t="n">
        <v>227.5784</v>
      </c>
      <c r="C83" t="n">
        <v>1.787779999999998</v>
      </c>
      <c r="D83" t="n">
        <v>2.512220000000002</v>
      </c>
      <c r="E83" t="n">
        <v>5.612220000000002</v>
      </c>
    </row>
    <row r="84">
      <c r="A84" t="inlineStr">
        <is>
          <t>100</t>
        </is>
      </c>
      <c r="B84" t="n">
        <v>237.9022</v>
      </c>
      <c r="C84" t="n">
        <v>2.064760000000001</v>
      </c>
      <c r="D84" t="n">
        <v>2.4</v>
      </c>
      <c r="E84" t="n">
        <v>5.335239999999999</v>
      </c>
    </row>
    <row r="85">
      <c r="A85" t="inlineStr">
        <is>
          <t>FBP</t>
        </is>
      </c>
      <c r="C85" t="n">
        <v>2.064760000000001</v>
      </c>
      <c r="D85" t="n">
        <v>2.4</v>
      </c>
      <c r="E85" t="n">
        <v>5.335239999999999</v>
      </c>
    </row>
    <row r="86">
      <c r="A86" t="inlineStr">
        <is>
          <t>IBP</t>
        </is>
      </c>
      <c r="C86" t="n">
        <v>4.330959999999999</v>
      </c>
      <c r="D86" t="n">
        <v>0.8</v>
      </c>
      <c r="E86" t="n">
        <v>2.069040000000001</v>
      </c>
    </row>
    <row r="87">
      <c r="A87" t="inlineStr"/>
    </row>
    <row r="88">
      <c r="A88">
        <f>= 5. Флаги политики на эталонных данных ==</f>
        <v/>
      </c>
    </row>
    <row r="89">
      <c r="A89" t="inlineStr">
        <is>
          <t>Flags:</t>
        </is>
      </c>
      <c r="B89" t="inlineStr">
        <is>
          <t>(нет — данные в каноне)</t>
        </is>
      </c>
    </row>
    <row r="90">
      <c r="A90" t="inlineStr"/>
    </row>
    <row r="91">
      <c r="A91" t="inlineStr">
        <is>
          <t>Как сверять: открыть книгу в Excel, F9 (полный пересчёт), сравнить</t>
        </is>
      </c>
    </row>
    <row r="92">
      <c r="A92" t="inlineStr">
        <is>
          <t>столбец T_corr листа «Расчёт» (F2:F22) со столбцом T_corr_ref здесь;</t>
        </is>
      </c>
    </row>
    <row r="93">
      <c r="A93" t="inlineStr">
        <is>
          <t>расхождение &gt; 0.5 °C в любой точке = контракт нарушен (регистрация в Техдолг).</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sheetData>
    <row r="1">
      <c r="A1" t="inlineStr">
        <is>
          <t>GUM-МОДЕЛЬ НЕОПРЕДЕЛЁННОСТИ T_corr(V) — fraction_lib.uncertainty (TD-2177-007)</t>
        </is>
      </c>
    </row>
    <row r="2">
      <c r="A2" t="inlineStr">
        <is>
          <t>Модель:</t>
        </is>
      </c>
      <c r="B2" t="inlineStr">
        <is>
          <t>T_corr = MROUND(T_obs + 0.0009*(101.3 - p_кПа)*(273 + t_bar) + ΔT_m; 0.5)</t>
        </is>
      </c>
    </row>
    <row r="3">
      <c r="A3" t="inlineStr">
        <is>
          <t>Источник чисел:</t>
        </is>
      </c>
      <c r="B3" t="inlineStr">
        <is>
          <t>python -m fraction_lib.excel_generator (этот лист генерируется, не редактировать вручную)</t>
        </is>
      </c>
    </row>
    <row r="4">
      <c r="A4" t="inlineStr">
        <is>
          <t>Условия прогона:</t>
        </is>
      </c>
      <c r="B4" t="inlineStr">
        <is>
          <t>p = 700.0 мм рт.ст. = 93.326 кПа;</t>
        </is>
      </c>
      <c r="C4" t="inlineStr">
        <is>
          <t>t_bar = 20.0 °C (при отсутствии ввода принят 20 °C);</t>
        </is>
      </c>
      <c r="D4" t="inlineStr">
        <is>
          <t>флаги политики: (нет)</t>
        </is>
      </c>
    </row>
    <row r="5">
      <c r="A5" t="inlineStr"/>
    </row>
    <row r="6">
      <c r="A6">
        <f>= 1. Компоненты бюджета (u_i, приведённые к °C) ==</f>
        <v/>
      </c>
    </row>
    <row r="7">
      <c r="A7" t="inlineStr">
        <is>
          <t>Код</t>
        </is>
      </c>
      <c r="B7" t="inlineStr">
        <is>
          <t>Описание</t>
        </is>
      </c>
      <c r="C7" t="inlineStr">
        <is>
          <t>Тип</t>
        </is>
      </c>
      <c r="D7" t="inlineStr">
        <is>
          <t>Распределение</t>
        </is>
      </c>
      <c r="E7" t="inlineStr">
        <is>
          <t>Полуширина</t>
        </is>
      </c>
      <c r="F7" t="inlineStr">
        <is>
          <t>Ед.</t>
        </is>
      </c>
      <c r="G7" t="inlineStr">
        <is>
          <t>Чувствительность c_i</t>
        </is>
      </c>
      <c r="H7" t="inlineStr">
        <is>
          <t>u_i, °C</t>
        </is>
      </c>
    </row>
    <row r="8">
      <c r="A8" t="inlineStr">
        <is>
          <t>u1</t>
        </is>
      </c>
      <c r="B8" t="inlineStr">
        <is>
          <t>Наблюдение T_obs (цена деления, прямоугольный)</t>
        </is>
      </c>
      <c r="C8" t="inlineStr">
        <is>
          <t>B</t>
        </is>
      </c>
      <c r="D8" t="inlineStr">
        <is>
          <t>rectangular</t>
        </is>
      </c>
      <c r="E8" t="n">
        <v>0.5</v>
      </c>
      <c r="F8" t="inlineStr">
        <is>
          <t>°C</t>
        </is>
      </c>
      <c r="G8" t="n">
        <v>1</v>
      </c>
      <c r="H8" t="n">
        <v>0.2887</v>
      </c>
    </row>
    <row r="9">
      <c r="A9" t="inlineStr">
        <is>
          <t>u2</t>
        </is>
      </c>
      <c r="B9" t="inlineStr">
        <is>
          <t>Барометрическое давление p</t>
        </is>
      </c>
      <c r="C9" t="inlineStr">
        <is>
          <t>B</t>
        </is>
      </c>
      <c r="D9" t="inlineStr">
        <is>
          <t>rectangular</t>
        </is>
      </c>
      <c r="E9" t="n">
        <v>0.5</v>
      </c>
      <c r="F9" t="inlineStr">
        <is>
          <t>кПа</t>
        </is>
      </c>
      <c r="G9" t="n">
        <v>-0.2637</v>
      </c>
      <c r="H9" t="n">
        <v>0.0761</v>
      </c>
    </row>
    <row r="10">
      <c r="A10" t="inlineStr">
        <is>
          <t>u3</t>
        </is>
      </c>
      <c r="B10" t="inlineStr">
        <is>
          <t>Температура барометра t_bar</t>
        </is>
      </c>
      <c r="C10" t="inlineStr">
        <is>
          <t>B</t>
        </is>
      </c>
      <c r="D10" t="inlineStr">
        <is>
          <t>rectangular</t>
        </is>
      </c>
      <c r="E10" t="n">
        <v>0.5</v>
      </c>
      <c r="F10" t="inlineStr">
        <is>
          <t>°C</t>
        </is>
      </c>
      <c r="G10" t="n">
        <v>0.007177</v>
      </c>
      <c r="H10" t="n">
        <v>0.0021</v>
      </c>
    </row>
    <row r="11">
      <c r="A11" t="inlineStr">
        <is>
          <t>u4</t>
        </is>
      </c>
      <c r="B11" t="inlineStr">
        <is>
          <t>Поправка выступающей нити barometer</t>
        </is>
      </c>
      <c r="C11" t="inlineStr">
        <is>
          <t>B</t>
        </is>
      </c>
      <c r="D11" t="inlineStr">
        <is>
          <t>rectangular</t>
        </is>
      </c>
      <c r="E11" t="n">
        <v>0.2</v>
      </c>
      <c r="F11" t="inlineStr">
        <is>
          <t>°C</t>
        </is>
      </c>
      <c r="G11" t="n">
        <v>0.007177</v>
      </c>
      <c r="H11" t="n">
        <v>0.0008</v>
      </c>
    </row>
    <row r="12">
      <c r="A12" t="inlineStr">
        <is>
          <t>u5</t>
        </is>
      </c>
      <c r="B12" t="inlineStr">
        <is>
          <t>Цифровая номограмма ΔT_m (остаток оцифровки)</t>
        </is>
      </c>
      <c r="C12" t="inlineStr">
        <is>
          <t>B</t>
        </is>
      </c>
      <c r="D12" t="inlineStr">
        <is>
          <t>rectangular</t>
        </is>
      </c>
      <c r="E12" t="n">
        <v>0.3</v>
      </c>
      <c r="F12" t="inlineStr">
        <is>
          <t>°C</t>
        </is>
      </c>
      <c r="G12" t="n">
        <v>1</v>
      </c>
      <c r="H12" t="n">
        <v>0.1732</v>
      </c>
    </row>
    <row r="13">
      <c r="A13" t="inlineStr">
        <is>
          <t>u6</t>
        </is>
      </c>
      <c r="B13" t="inlineStr">
        <is>
          <t>Дискретизация округления MROUND 0.5</t>
        </is>
      </c>
      <c r="C13" t="inlineStr">
        <is>
          <t>B</t>
        </is>
      </c>
      <c r="D13" t="inlineStr">
        <is>
          <t>rectangular</t>
        </is>
      </c>
      <c r="E13" t="n">
        <v>0.25</v>
      </c>
      <c r="F13" t="inlineStr">
        <is>
          <t>°C</t>
        </is>
      </c>
      <c r="G13" t="n">
        <v>1</v>
      </c>
      <c r="H13" t="n">
        <v>0.1443</v>
      </c>
    </row>
    <row r="14">
      <c r="A14" t="inlineStr"/>
    </row>
    <row r="15">
      <c r="A15" t="inlineStr">
        <is>
          <t>u_c (комбинированная), °C:</t>
        </is>
      </c>
      <c r="B15" t="n">
        <v>0.3741</v>
      </c>
    </row>
    <row r="16">
      <c r="A16" t="inlineStr">
        <is>
          <t>k использованный:</t>
        </is>
      </c>
      <c r="B16" t="n">
        <v>2</v>
      </c>
      <c r="C16" t="inlineStr">
        <is>
          <t>| ν_eff:</t>
        </is>
      </c>
      <c r="D16" t="inlineStr">
        <is>
          <t>∞</t>
        </is>
      </c>
      <c r="E16" t="inlineStr">
        <is>
          <t>| t95(ν_eff):</t>
        </is>
      </c>
      <c r="F16" t="n">
        <v>1.96</v>
      </c>
    </row>
    <row r="17">
      <c r="A17" t="inlineStr">
        <is>
          <t>U = k·u_c, °C:</t>
        </is>
      </c>
      <c r="B17" t="n">
        <v>0.7482</v>
      </c>
    </row>
    <row r="18">
      <c r="A18" t="inlineStr">
        <is>
          <t>valid_for_reporting:</t>
        </is>
      </c>
      <c r="B18" t="b">
        <v>1</v>
      </c>
    </row>
    <row r="19">
      <c r="A19" t="inlineStr"/>
    </row>
    <row r="20">
      <c r="A20">
        <f>= 2. Сквозной профиль U по точкам книги ==</f>
        <v/>
      </c>
    </row>
    <row r="21">
      <c r="A21" t="inlineStr">
        <is>
          <t>% отгона</t>
        </is>
      </c>
      <c r="B21" t="inlineStr">
        <is>
          <t>T_corr_ref, °C</t>
        </is>
      </c>
      <c r="C21" t="inlineStr">
        <is>
          <t>u_c, °C</t>
        </is>
      </c>
      <c r="D21" t="inlineStr">
        <is>
          <t>k</t>
        </is>
      </c>
      <c r="E21" t="inlineStr">
        <is>
          <t>U, °C</t>
        </is>
      </c>
      <c r="F21" t="inlineStr">
        <is>
          <t>ν_eff</t>
        </is>
      </c>
      <c r="G21" t="inlineStr">
        <is>
          <t>t95</t>
        </is>
      </c>
      <c r="H21" t="inlineStr">
        <is>
          <t>valid_for_reporting</t>
        </is>
      </c>
      <c r="I21" t="inlineStr">
        <is>
          <t>Компоненты u_i (°C)</t>
        </is>
      </c>
      <c r="J21" t="inlineStr">
        <is>
          <t>Замечания</t>
        </is>
      </c>
    </row>
    <row r="22">
      <c r="A22" t="n">
        <v>0</v>
      </c>
      <c r="B22" t="n">
        <v>133.9088</v>
      </c>
      <c r="C22" t="n">
        <v>0.374</v>
      </c>
      <c r="D22" t="n">
        <v>2</v>
      </c>
      <c r="E22" t="n">
        <v>0.748</v>
      </c>
      <c r="F22" t="inlineStr">
        <is>
          <t>∞</t>
        </is>
      </c>
      <c r="G22" t="n">
        <v>1.96</v>
      </c>
      <c r="H22" t="b">
        <v>1</v>
      </c>
      <c r="I22" t="inlineStr">
        <is>
          <t>u1=0.289, u2=0.076, u3=0.002, u4=0.001, u5=0.173, u6=0.144</t>
        </is>
      </c>
      <c r="J22" t="inlineStr"/>
    </row>
    <row r="23">
      <c r="A23" t="n">
        <v>5</v>
      </c>
      <c r="B23" t="n">
        <v>155.5636</v>
      </c>
      <c r="C23" t="n">
        <v>0.374</v>
      </c>
      <c r="D23" t="n">
        <v>2</v>
      </c>
      <c r="E23" t="n">
        <v>0.748</v>
      </c>
      <c r="F23" t="inlineStr">
        <is>
          <t>∞</t>
        </is>
      </c>
      <c r="G23" t="n">
        <v>1.96</v>
      </c>
      <c r="H23" t="b">
        <v>1</v>
      </c>
      <c r="I23" t="inlineStr">
        <is>
          <t>u1=0.289, u2=0.076, u3=0.002, u4=0.001, u5=0.173, u6=0.144</t>
        </is>
      </c>
      <c r="J23" t="inlineStr"/>
    </row>
    <row r="24">
      <c r="A24" t="n">
        <v>10</v>
      </c>
      <c r="B24" t="n">
        <v>161.355</v>
      </c>
      <c r="C24" t="n">
        <v>0.374</v>
      </c>
      <c r="D24" t="n">
        <v>2</v>
      </c>
      <c r="E24" t="n">
        <v>0.748</v>
      </c>
      <c r="F24" t="inlineStr">
        <is>
          <t>∞</t>
        </is>
      </c>
      <c r="G24" t="n">
        <v>1.96</v>
      </c>
      <c r="H24" t="b">
        <v>1</v>
      </c>
      <c r="I24" t="inlineStr">
        <is>
          <t>u1=0.289, u2=0.076, u3=0.002, u4=0.001, u5=0.173, u6=0.144</t>
        </is>
      </c>
      <c r="J24" t="inlineStr"/>
    </row>
    <row r="25">
      <c r="A25" t="n">
        <v>15</v>
      </c>
      <c r="B25" t="n">
        <v>166.1392</v>
      </c>
      <c r="C25" t="n">
        <v>0.374</v>
      </c>
      <c r="D25" t="n">
        <v>2</v>
      </c>
      <c r="E25" t="n">
        <v>0.748</v>
      </c>
      <c r="F25" t="inlineStr">
        <is>
          <t>∞</t>
        </is>
      </c>
      <c r="G25" t="n">
        <v>1.96</v>
      </c>
      <c r="H25" t="b">
        <v>1</v>
      </c>
      <c r="I25" t="inlineStr">
        <is>
          <t>u1=0.289, u2=0.076, u3=0.002, u4=0.001, u5=0.173, u6=0.144</t>
        </is>
      </c>
      <c r="J25" t="inlineStr"/>
    </row>
    <row r="26">
      <c r="A26" t="n">
        <v>20</v>
      </c>
      <c r="B26" t="n">
        <v>171.6788</v>
      </c>
      <c r="C26" t="n">
        <v>0.374</v>
      </c>
      <c r="D26" t="n">
        <v>2</v>
      </c>
      <c r="E26" t="n">
        <v>0.748</v>
      </c>
      <c r="F26" t="inlineStr">
        <is>
          <t>∞</t>
        </is>
      </c>
      <c r="G26" t="n">
        <v>1.96</v>
      </c>
      <c r="H26" t="b">
        <v>1</v>
      </c>
      <c r="I26" t="inlineStr">
        <is>
          <t>u1=0.289, u2=0.076, u3=0.002, u4=0.001, u5=0.173, u6=0.144</t>
        </is>
      </c>
      <c r="J26" t="inlineStr"/>
    </row>
    <row r="27">
      <c r="A27" t="n">
        <v>25</v>
      </c>
      <c r="B27" t="n">
        <v>174.1968</v>
      </c>
      <c r="C27" t="n">
        <v>0.374</v>
      </c>
      <c r="D27" t="n">
        <v>2</v>
      </c>
      <c r="E27" t="n">
        <v>0.748</v>
      </c>
      <c r="F27" t="inlineStr">
        <is>
          <t>∞</t>
        </is>
      </c>
      <c r="G27" t="n">
        <v>1.96</v>
      </c>
      <c r="H27" t="b">
        <v>1</v>
      </c>
      <c r="I27" t="inlineStr">
        <is>
          <t>u1=0.289, u2=0.076, u3=0.002, u4=0.001, u5=0.173, u6=0.144</t>
        </is>
      </c>
      <c r="J27" t="inlineStr"/>
    </row>
    <row r="28">
      <c r="A28" t="n">
        <v>30</v>
      </c>
      <c r="B28" t="n">
        <v>176.7148</v>
      </c>
      <c r="C28" t="n">
        <v>0.374</v>
      </c>
      <c r="D28" t="n">
        <v>2</v>
      </c>
      <c r="E28" t="n">
        <v>0.748</v>
      </c>
      <c r="F28" t="inlineStr">
        <is>
          <t>∞</t>
        </is>
      </c>
      <c r="G28" t="n">
        <v>1.96</v>
      </c>
      <c r="H28" t="b">
        <v>1</v>
      </c>
      <c r="I28" t="inlineStr">
        <is>
          <t>u1=0.289, u2=0.076, u3=0.002, u4=0.001, u5=0.173, u6=0.144</t>
        </is>
      </c>
      <c r="J28" t="inlineStr"/>
    </row>
    <row r="29">
      <c r="A29" t="n">
        <v>35</v>
      </c>
      <c r="B29" t="n">
        <v>179.2328</v>
      </c>
      <c r="C29" t="n">
        <v>0.374</v>
      </c>
      <c r="D29" t="n">
        <v>2</v>
      </c>
      <c r="E29" t="n">
        <v>0.748</v>
      </c>
      <c r="F29" t="inlineStr">
        <is>
          <t>∞</t>
        </is>
      </c>
      <c r="G29" t="n">
        <v>1.96</v>
      </c>
      <c r="H29" t="b">
        <v>1</v>
      </c>
      <c r="I29" t="inlineStr">
        <is>
          <t>u1=0.289, u2=0.076, u3=0.002, u4=0.001, u5=0.173, u6=0.144</t>
        </is>
      </c>
      <c r="J29" t="inlineStr"/>
    </row>
    <row r="30">
      <c r="A30" t="n">
        <v>40</v>
      </c>
      <c r="B30" t="n">
        <v>183.0098</v>
      </c>
      <c r="C30" t="n">
        <v>0.374</v>
      </c>
      <c r="D30" t="n">
        <v>2</v>
      </c>
      <c r="E30" t="n">
        <v>0.748</v>
      </c>
      <c r="F30" t="inlineStr">
        <is>
          <t>∞</t>
        </is>
      </c>
      <c r="G30" t="n">
        <v>1.96</v>
      </c>
      <c r="H30" t="b">
        <v>1</v>
      </c>
      <c r="I30" t="inlineStr">
        <is>
          <t>u1=0.289, u2=0.076, u3=0.002, u4=0.001, u5=0.173, u6=0.144</t>
        </is>
      </c>
      <c r="J30" t="inlineStr"/>
    </row>
    <row r="31">
      <c r="A31" t="n">
        <v>45</v>
      </c>
      <c r="B31" t="n">
        <v>185.276</v>
      </c>
      <c r="C31" t="n">
        <v>0.374</v>
      </c>
      <c r="D31" t="n">
        <v>2</v>
      </c>
      <c r="E31" t="n">
        <v>0.748</v>
      </c>
      <c r="F31" t="inlineStr">
        <is>
          <t>∞</t>
        </is>
      </c>
      <c r="G31" t="n">
        <v>1.96</v>
      </c>
      <c r="H31" t="b">
        <v>1</v>
      </c>
      <c r="I31" t="inlineStr">
        <is>
          <t>u1=0.289, u2=0.076, u3=0.002, u4=0.001, u5=0.173, u6=0.144</t>
        </is>
      </c>
      <c r="J31" t="inlineStr"/>
    </row>
    <row r="32">
      <c r="A32" t="n">
        <v>50</v>
      </c>
      <c r="B32" t="n">
        <v>188.8012</v>
      </c>
      <c r="C32" t="n">
        <v>0.374</v>
      </c>
      <c r="D32" t="n">
        <v>2</v>
      </c>
      <c r="E32" t="n">
        <v>0.748</v>
      </c>
      <c r="F32" t="inlineStr">
        <is>
          <t>∞</t>
        </is>
      </c>
      <c r="G32" t="n">
        <v>1.96</v>
      </c>
      <c r="H32" t="b">
        <v>1</v>
      </c>
      <c r="I32" t="inlineStr">
        <is>
          <t>u1=0.289, u2=0.076, u3=0.002, u4=0.001, u5=0.173, u6=0.144</t>
        </is>
      </c>
      <c r="J32" t="inlineStr"/>
    </row>
    <row r="33">
      <c r="A33" t="n">
        <v>55</v>
      </c>
      <c r="B33" t="n">
        <v>191.3192</v>
      </c>
      <c r="C33" t="n">
        <v>0.374</v>
      </c>
      <c r="D33" t="n">
        <v>2</v>
      </c>
      <c r="E33" t="n">
        <v>0.748</v>
      </c>
      <c r="F33" t="inlineStr">
        <is>
          <t>∞</t>
        </is>
      </c>
      <c r="G33" t="n">
        <v>1.96</v>
      </c>
      <c r="H33" t="b">
        <v>1</v>
      </c>
      <c r="I33" t="inlineStr">
        <is>
          <t>u1=0.289, u2=0.076, u3=0.002, u4=0.001, u5=0.173, u6=0.144</t>
        </is>
      </c>
      <c r="J33" t="inlineStr"/>
    </row>
    <row r="34">
      <c r="A34" t="n">
        <v>60</v>
      </c>
      <c r="B34" t="n">
        <v>195.0962</v>
      </c>
      <c r="C34" t="n">
        <v>0.374</v>
      </c>
      <c r="D34" t="n">
        <v>2</v>
      </c>
      <c r="E34" t="n">
        <v>0.748</v>
      </c>
      <c r="F34" t="inlineStr">
        <is>
          <t>∞</t>
        </is>
      </c>
      <c r="G34" t="n">
        <v>1.96</v>
      </c>
      <c r="H34" t="b">
        <v>1</v>
      </c>
      <c r="I34" t="inlineStr">
        <is>
          <t>u1=0.289, u2=0.076, u3=0.002, u4=0.001, u5=0.173, u6=0.144</t>
        </is>
      </c>
      <c r="J34" t="inlineStr"/>
    </row>
    <row r="35">
      <c r="A35" t="n">
        <v>65</v>
      </c>
      <c r="B35" t="n">
        <v>198.3696</v>
      </c>
      <c r="C35" t="n">
        <v>0.374</v>
      </c>
      <c r="D35" t="n">
        <v>2</v>
      </c>
      <c r="E35" t="n">
        <v>0.748</v>
      </c>
      <c r="F35" t="inlineStr">
        <is>
          <t>∞</t>
        </is>
      </c>
      <c r="G35" t="n">
        <v>1.96</v>
      </c>
      <c r="H35" t="b">
        <v>1</v>
      </c>
      <c r="I35" t="inlineStr">
        <is>
          <t>u1=0.289, u2=0.076, u3=0.002, u4=0.001, u5=0.173, u6=0.144</t>
        </is>
      </c>
      <c r="J35" t="inlineStr"/>
    </row>
    <row r="36">
      <c r="A36" t="n">
        <v>70</v>
      </c>
      <c r="B36" t="n">
        <v>201.8948</v>
      </c>
      <c r="C36" t="n">
        <v>0.374</v>
      </c>
      <c r="D36" t="n">
        <v>2</v>
      </c>
      <c r="E36" t="n">
        <v>0.748</v>
      </c>
      <c r="F36" t="inlineStr">
        <is>
          <t>∞</t>
        </is>
      </c>
      <c r="G36" t="n">
        <v>1.96</v>
      </c>
      <c r="H36" t="b">
        <v>1</v>
      </c>
      <c r="I36" t="inlineStr">
        <is>
          <t>u1=0.289, u2=0.076, u3=0.002, u4=0.001, u5=0.173, u6=0.144</t>
        </is>
      </c>
      <c r="J36" t="inlineStr"/>
    </row>
    <row r="37">
      <c r="A37" t="n">
        <v>75</v>
      </c>
      <c r="B37" t="n">
        <v>204.4128</v>
      </c>
      <c r="C37" t="n">
        <v>0.374</v>
      </c>
      <c r="D37" t="n">
        <v>2</v>
      </c>
      <c r="E37" t="n">
        <v>0.748</v>
      </c>
      <c r="F37" t="inlineStr">
        <is>
          <t>∞</t>
        </is>
      </c>
      <c r="G37" t="n">
        <v>1.96</v>
      </c>
      <c r="H37" t="b">
        <v>1</v>
      </c>
      <c r="I37" t="inlineStr">
        <is>
          <t>u1=0.289, u2=0.076, u3=0.002, u4=0.001, u5=0.173, u6=0.144</t>
        </is>
      </c>
      <c r="J37" t="inlineStr"/>
    </row>
    <row r="38">
      <c r="A38" t="n">
        <v>80</v>
      </c>
      <c r="B38" t="n">
        <v>209.9524</v>
      </c>
      <c r="C38" t="n">
        <v>0.374</v>
      </c>
      <c r="D38" t="n">
        <v>2</v>
      </c>
      <c r="E38" t="n">
        <v>0.748</v>
      </c>
      <c r="F38" t="inlineStr">
        <is>
          <t>∞</t>
        </is>
      </c>
      <c r="G38" t="n">
        <v>1.96</v>
      </c>
      <c r="H38" t="b">
        <v>1</v>
      </c>
      <c r="I38" t="inlineStr">
        <is>
          <t>u1=0.289, u2=0.076, u3=0.002, u4=0.001, u5=0.173, u6=0.144</t>
        </is>
      </c>
      <c r="J38" t="inlineStr"/>
    </row>
    <row r="39">
      <c r="A39" t="n">
        <v>85</v>
      </c>
      <c r="B39" t="n">
        <v>214.4848</v>
      </c>
      <c r="C39" t="n">
        <v>0.374</v>
      </c>
      <c r="D39" t="n">
        <v>2</v>
      </c>
      <c r="E39" t="n">
        <v>0.748</v>
      </c>
      <c r="F39" t="inlineStr">
        <is>
          <t>∞</t>
        </is>
      </c>
      <c r="G39" t="n">
        <v>1.96</v>
      </c>
      <c r="H39" t="b">
        <v>1</v>
      </c>
      <c r="I39" t="inlineStr">
        <is>
          <t>u1=0.289, u2=0.076, u3=0.002, u4=0.001, u5=0.173, u6=0.144</t>
        </is>
      </c>
      <c r="J39" t="inlineStr"/>
    </row>
    <row r="40">
      <c r="A40" t="n">
        <v>90</v>
      </c>
      <c r="B40" t="n">
        <v>220.0244</v>
      </c>
      <c r="C40" t="n">
        <v>0.374</v>
      </c>
      <c r="D40" t="n">
        <v>2</v>
      </c>
      <c r="E40" t="n">
        <v>0.748</v>
      </c>
      <c r="F40" t="inlineStr">
        <is>
          <t>∞</t>
        </is>
      </c>
      <c r="G40" t="n">
        <v>1.96</v>
      </c>
      <c r="H40" t="b">
        <v>1</v>
      </c>
      <c r="I40" t="inlineStr">
        <is>
          <t>u1=0.289, u2=0.076, u3=0.002, u4=0.001, u5=0.173, u6=0.144</t>
        </is>
      </c>
      <c r="J40" t="inlineStr"/>
    </row>
    <row r="41">
      <c r="A41" t="n">
        <v>95</v>
      </c>
      <c r="B41" t="n">
        <v>227.5784</v>
      </c>
      <c r="C41" t="n">
        <v>0.374</v>
      </c>
      <c r="D41" t="n">
        <v>2</v>
      </c>
      <c r="E41" t="n">
        <v>0.748</v>
      </c>
      <c r="F41" t="inlineStr">
        <is>
          <t>∞</t>
        </is>
      </c>
      <c r="G41" t="n">
        <v>1.96</v>
      </c>
      <c r="H41" t="b">
        <v>1</v>
      </c>
      <c r="I41" t="inlineStr">
        <is>
          <t>u1=0.289, u2=0.076, u3=0.002, u4=0.001, u5=0.173, u6=0.144</t>
        </is>
      </c>
      <c r="J41" t="inlineStr"/>
    </row>
    <row r="42">
      <c r="A42" t="n">
        <v>100</v>
      </c>
      <c r="B42" t="n">
        <v>237.9022</v>
      </c>
      <c r="C42" t="n">
        <v>0.374</v>
      </c>
      <c r="D42" t="n">
        <v>2</v>
      </c>
      <c r="E42" t="n">
        <v>0.748</v>
      </c>
      <c r="F42" t="inlineStr">
        <is>
          <t>∞</t>
        </is>
      </c>
      <c r="G42" t="n">
        <v>1.96</v>
      </c>
      <c r="H42" t="b">
        <v>1</v>
      </c>
      <c r="I42" t="inlineStr">
        <is>
          <t>u1=0.289, u2=0.076, u3=0.002, u4=0.001, u5=0.173, u6=0.144</t>
        </is>
      </c>
      <c r="J42" t="inlineStr"/>
    </row>
    <row r="43">
      <c r="A43" t="inlineStr"/>
    </row>
    <row r="44">
      <c r="A44" t="inlineStr">
        <is>
          <t>Как использовать: U из этого листа — расширенная неопределённость (k eff.)</t>
        </is>
      </c>
    </row>
    <row r="45">
      <c r="A45" t="inlineStr">
        <is>
          <t>скорректированной температуры отгона; применять вместе с флагами политики</t>
        </is>
      </c>
    </row>
    <row r="46">
      <c r="A46" t="inlineStr">
        <is>
          <t>из листа «Контракт_v313». При valid_for_reporting=FALSE точка вне канона НД.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sheetData>
    <row r="1">
      <c r="A1" t="inlineStr">
        <is>
          <t>РЕЕСТР РЕДАКЦИЙ НД (docs/ND_REGISTRY.json) — TD-2177-008 / TD-D86-007</t>
        </is>
      </c>
    </row>
    <row r="2">
      <c r="A2" t="inlineStr">
        <is>
          <t>Эта книга верифицирована редакцией:</t>
        </is>
      </c>
      <c r="B2" t="inlineStr">
        <is>
          <t>ГОСТ 2177-99</t>
        </is>
      </c>
    </row>
    <row r="3">
      <c r="A3" t="inlineStr">
        <is>
          <t>Статус сверки хешей (drift-guard):</t>
        </is>
      </c>
      <c r="B3" t="inlineStr">
        <is>
          <t>OK — константы кода соответствуют реестру</t>
        </is>
      </c>
    </row>
    <row r="4">
      <c r="A4" t="inlineStr"/>
    </row>
    <row r="5">
      <c r="A5" t="inlineStr">
        <is>
          <t>ID</t>
        </is>
      </c>
      <c r="B5" t="inlineStr">
        <is>
          <t>Обозначение</t>
        </is>
      </c>
      <c r="C5" t="inlineStr">
        <is>
          <t>Редакция</t>
        </is>
      </c>
      <c r="D5" t="inlineStr">
        <is>
          <t>Статус</t>
        </is>
      </c>
      <c r="E5" t="inlineStr">
        <is>
          <t>Действует с</t>
        </is>
      </c>
      <c r="F5" t="inlineStr">
        <is>
          <t>Заменяет</t>
        </is>
      </c>
      <c r="G5" t="inlineStr">
        <is>
          <t>sha256 нормативного ядра</t>
        </is>
      </c>
      <c r="H5" t="inlineStr">
        <is>
          <t>Верифицировано (доказательства)</t>
        </is>
      </c>
      <c r="I5" t="inlineStr">
        <is>
          <t>Область</t>
        </is>
      </c>
      <c r="J5" t="inlineStr">
        <is>
          <t>Примечание</t>
        </is>
      </c>
    </row>
    <row r="6">
      <c r="A6" t="inlineStr">
        <is>
          <t>ND-2026-001</t>
        </is>
      </c>
      <c r="B6" t="inlineStr">
        <is>
          <t>ГОСТ 2177-99</t>
        </is>
      </c>
      <c r="C6" t="inlineStr">
        <is>
          <t>Изм. №1 (введён 01.07.2021, приказ 896-ст) + Поправка 2023</t>
        </is>
      </c>
      <c r="D6" t="inlineStr">
        <is>
          <t>ACTIVE</t>
        </is>
      </c>
      <c r="E6" t="inlineStr">
        <is>
          <t>2021-07-01</t>
        </is>
      </c>
      <c r="F6" t="inlineStr"/>
      <c r="G6" t="inlineStr">
        <is>
          <t>5b143c2b4b5090e6c3dc5141fd350c40fc6270a7e1cc1655f1bce146894effe9</t>
        </is>
      </c>
      <c r="H6" t="inlineStr">
        <is>
          <t>fraction_lib/tests/test_gost2177.py; fraction_lib/tests/test_uncertainty_td2177007.py; fraction_lib/tests/test_procedure_td2177006.py; docs/TECHDEBT_TD2177_002.md; docs/TECHDEBT_TD2177_004.md; docs/TECHDEBT_TD2177_005.md; docs/TECHDEBT_TD2177_007.md</t>
        </is>
      </c>
      <c r="I6" t="inlineStr">
        <is>
          <t>fraction_lib.gost2177, fraction_lib.uncertainty, fraction_lib.procedure; книги ГОСТ_2177_метод_А v3.12/v3.13</t>
        </is>
      </c>
      <c r="J6" t="inlineStr">
        <is>
          <t>kPa-форма 0.0009*(101.3-p)*(273+t) эквивалентна нормативной 0.0000009*(101300-Pb)*(273+t) — осознанно не менялась (аудит G2177-N03).</t>
        </is>
      </c>
    </row>
    <row r="7">
      <c r="A7" t="inlineStr">
        <is>
          <t>ND-2026-002</t>
        </is>
      </c>
      <c r="B7" t="inlineStr">
        <is>
          <t>ASTM D86</t>
        </is>
      </c>
      <c r="C7" t="inlineStr">
        <is>
          <t>D86-23 (+ae1)</t>
        </is>
      </c>
      <c r="D7" t="inlineStr">
        <is>
          <t>ACTIVE</t>
        </is>
      </c>
      <c r="E7" t="inlineStr">
        <is>
          <t>2023-06-01</t>
        </is>
      </c>
      <c r="F7" t="inlineStr"/>
      <c r="G7" t="inlineStr">
        <is>
          <t>9d600b919fec365ed73df472b37227bc42f2f66035592abc312d45920028a67d</t>
        </is>
      </c>
      <c r="H7" t="inlineStr">
        <is>
          <t>fraction_lib/tests/test_d86.py; fraction_lib/tests/test_excel_contract.py; docs (лист Аудит_НД книги v3.12)</t>
        </is>
      </c>
      <c r="I7" t="inlineStr">
        <is>
          <t>fraction_lib.d86; книги ASTM_D86_ручной_метод v3.12/v3.13; автоматический метод v3.11 (частично)</t>
        </is>
      </c>
      <c r="J7" t="inlineStr">
        <is>
          <t>Единая формула Lc для P&gt;760 внедрена в v3.12 и fraction_lib (TD-D86-001 часть book закрыта коммитом 1322c85). Сингулярность P≈820 мм рт. ст. — warning-слой.</t>
        </is>
      </c>
    </row>
    <row r="8">
      <c r="A8" t="inlineStr">
        <is>
          <t>ND-LEGACY-001</t>
        </is>
      </c>
      <c r="B8" t="inlineStr">
        <is>
          <t>ASTM D86</t>
        </is>
      </c>
      <c r="C8" t="inlineStr">
        <is>
          <t>D86-20a</t>
        </is>
      </c>
      <c r="D8" t="inlineStr">
        <is>
          <t>SUPERSEDED</t>
        </is>
      </c>
      <c r="E8" t="inlineStr">
        <is>
          <t>2020-01-01</t>
        </is>
      </c>
      <c r="F8" t="inlineStr"/>
      <c r="G8" t="inlineStr"/>
      <c r="H8" t="inlineStr"/>
      <c r="I8" t="inlineStr">
        <is>
          <t>исторические книги v3.11 и раннее</t>
        </is>
      </c>
      <c r="J8" t="inlineStr">
        <is>
          <t>Заменена на ND-2026-002 (D86-23). Расчёт по этой редакции запрещён resolve_for_calculation().</t>
        </is>
      </c>
    </row>
    <row r="9">
      <c r="A9" t="inlineStr"/>
    </row>
    <row r="10">
      <c r="A10" t="inlineStr">
        <is>
          <t>Правила: запись неизменяема; новая редакция = новая запись + supersedes;</t>
        </is>
      </c>
    </row>
    <row r="11">
      <c r="A11" t="inlineStr">
        <is>
          <t>расчёт по WITHDRAWN/SUPERSEDED запрещён (resolve_for_calculation);</t>
        </is>
      </c>
    </row>
    <row r="12">
      <c r="A12" t="inlineStr">
        <is>
          <t>изменение существенных констант без переоформления реестра блокирует CI (pytest).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2026-10-07T05:46:23Z</dcterms:created>
  <dcterms:modified xmlns:dcterms="http://purl.org/dc/terms/" xmlns:xsi="http://www.w3.org/2001/XMLSchema-instance" xsi:type="dcterms:W3CDTF">2026-10-07T19:48:59Z</dcterms:modified>
  <cp:lastModifiedBy>Arhys</cp:lastModifiedBy>
</cp:coreProperties>
</file>