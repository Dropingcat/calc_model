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hys\Desktop\каллибровка\new_versions_v4\"/>
    </mc:Choice>
  </mc:AlternateContent>
  <xr:revisionPtr revIDLastSave="0" documentId="13_ncr:1_{015B0D2D-C817-41BF-A4D2-47E702BCCBF8}" xr6:coauthVersionLast="47" xr6:coauthVersionMax="47" xr10:uidLastSave="{00000000-0000-0000-0000-000000000000}"/>
  <bookViews>
    <workbookView xWindow="3495" yWindow="105" windowWidth="22950" windowHeight="13875" activeTab="4" xr2:uid="{00000000-000D-0000-FFFF-FFFF00000000}"/>
  </bookViews>
  <sheets>
    <sheet name="О книге" sheetId="1" r:id="rId1"/>
    <sheet name="Ввод" sheetId="2" r:id="rId2"/>
    <sheet name="Расчёт" sheetId="3" r:id="rId3"/>
    <sheet name="Итог" sheetId="4" r:id="rId4"/>
    <sheet name="График" sheetId="5" r:id="rId5"/>
  </sheets>
  <calcPr calcId="181029"/>
</workbook>
</file>

<file path=xl/calcChain.xml><?xml version="1.0" encoding="utf-8"?>
<calcChain xmlns="http://schemas.openxmlformats.org/spreadsheetml/2006/main">
  <c r="B49" i="5" l="1"/>
  <c r="B102" i="3" s="1"/>
  <c r="F26" i="5" s="1"/>
  <c r="A49" i="5"/>
  <c r="B48" i="5"/>
  <c r="A48" i="5"/>
  <c r="A101" i="3" s="1"/>
  <c r="B33" i="5"/>
  <c r="A33" i="5"/>
  <c r="A86" i="3" s="1"/>
  <c r="F24" i="5"/>
  <c r="A24" i="5"/>
  <c r="F23" i="5"/>
  <c r="A23" i="5"/>
  <c r="F22" i="5"/>
  <c r="A22" i="5"/>
  <c r="F21" i="5"/>
  <c r="A21" i="5"/>
  <c r="F20" i="5"/>
  <c r="A20" i="5"/>
  <c r="F19" i="5"/>
  <c r="A19" i="5"/>
  <c r="F18" i="5"/>
  <c r="A18" i="5"/>
  <c r="F17" i="5"/>
  <c r="A17" i="5"/>
  <c r="F16" i="5"/>
  <c r="A16" i="5"/>
  <c r="F15" i="5"/>
  <c r="A15" i="5"/>
  <c r="F14" i="5"/>
  <c r="A14" i="5"/>
  <c r="F13" i="5"/>
  <c r="A13" i="5"/>
  <c r="F12" i="5"/>
  <c r="A12" i="5"/>
  <c r="F11" i="5"/>
  <c r="A11" i="5"/>
  <c r="F10" i="5"/>
  <c r="A10" i="5"/>
  <c r="F9" i="5"/>
  <c r="A9" i="5"/>
  <c r="F8" i="5"/>
  <c r="A8" i="5"/>
  <c r="F7" i="5"/>
  <c r="A7" i="5"/>
  <c r="F6" i="5"/>
  <c r="A6" i="5"/>
  <c r="F5" i="5"/>
  <c r="A5" i="5"/>
  <c r="G4" i="5"/>
  <c r="F4" i="5"/>
  <c r="A4" i="5"/>
  <c r="A26" i="4"/>
  <c r="A25" i="4"/>
  <c r="A24" i="4"/>
  <c r="A23" i="4"/>
  <c r="A22" i="4"/>
  <c r="A21" i="4"/>
  <c r="A20" i="4"/>
  <c r="A19" i="4"/>
  <c r="A18" i="4"/>
  <c r="A17" i="4"/>
  <c r="A16" i="4"/>
  <c r="A15" i="4"/>
  <c r="A14" i="4"/>
  <c r="A13" i="4"/>
  <c r="A12" i="4"/>
  <c r="A11" i="4"/>
  <c r="A10" i="4"/>
  <c r="A9" i="4"/>
  <c r="A8" i="4"/>
  <c r="A7" i="4"/>
  <c r="A6" i="4"/>
  <c r="B3" i="4"/>
  <c r="B2" i="4"/>
  <c r="C102" i="3"/>
  <c r="D102" i="3" s="1"/>
  <c r="A102" i="3"/>
  <c r="C101" i="3"/>
  <c r="G24" i="5" s="1"/>
  <c r="B101" i="3"/>
  <c r="A74" i="3"/>
  <c r="A73" i="3"/>
  <c r="A72" i="3"/>
  <c r="A71" i="3"/>
  <c r="A70" i="3"/>
  <c r="A69" i="3"/>
  <c r="A68" i="3"/>
  <c r="A67" i="3"/>
  <c r="A66" i="3"/>
  <c r="A65" i="3"/>
  <c r="A64" i="3"/>
  <c r="A63" i="3"/>
  <c r="A62" i="3"/>
  <c r="A61" i="3"/>
  <c r="A60" i="3"/>
  <c r="A59" i="3"/>
  <c r="A58" i="3"/>
  <c r="A57" i="3"/>
  <c r="A56" i="3"/>
  <c r="A55" i="3"/>
  <c r="A54" i="3"/>
  <c r="H47" i="3"/>
  <c r="F47" i="3"/>
  <c r="C47" i="3"/>
  <c r="B47" i="3"/>
  <c r="H46" i="3"/>
  <c r="F46" i="3"/>
  <c r="C46" i="3"/>
  <c r="B46" i="3"/>
  <c r="H45" i="3"/>
  <c r="F45" i="3"/>
  <c r="G45" i="3" s="1"/>
  <c r="C45" i="3"/>
  <c r="B45" i="3"/>
  <c r="H44" i="3"/>
  <c r="G44" i="3"/>
  <c r="F44" i="3"/>
  <c r="C44" i="3"/>
  <c r="B44" i="3"/>
  <c r="H43" i="3"/>
  <c r="F43" i="3"/>
  <c r="C43" i="3"/>
  <c r="B43" i="3"/>
  <c r="H42" i="3"/>
  <c r="F42" i="3"/>
  <c r="C42" i="3"/>
  <c r="B42" i="3"/>
  <c r="H41" i="3"/>
  <c r="F41" i="3"/>
  <c r="C41" i="3"/>
  <c r="B41" i="3"/>
  <c r="H40" i="3"/>
  <c r="G40" i="3"/>
  <c r="F40" i="3"/>
  <c r="C40" i="3"/>
  <c r="B40" i="3"/>
  <c r="H39" i="3"/>
  <c r="F39" i="3"/>
  <c r="C39" i="3"/>
  <c r="B39" i="3"/>
  <c r="H38" i="3"/>
  <c r="G38" i="3"/>
  <c r="F38" i="3"/>
  <c r="C38" i="3"/>
  <c r="B38" i="3"/>
  <c r="H37" i="3"/>
  <c r="F37" i="3"/>
  <c r="E14" i="5" s="1"/>
  <c r="C37" i="3"/>
  <c r="B37" i="3"/>
  <c r="H36" i="3"/>
  <c r="G36" i="3"/>
  <c r="F36" i="3"/>
  <c r="C36" i="3"/>
  <c r="B36" i="3"/>
  <c r="H35" i="3"/>
  <c r="F35" i="3"/>
  <c r="C35" i="3"/>
  <c r="B35" i="3"/>
  <c r="H34" i="3"/>
  <c r="G34" i="3"/>
  <c r="F34" i="3"/>
  <c r="C34" i="3"/>
  <c r="B34" i="3"/>
  <c r="H33" i="3"/>
  <c r="G33" i="3"/>
  <c r="F33" i="3"/>
  <c r="E10" i="5" s="1"/>
  <c r="C33" i="3"/>
  <c r="B33" i="3"/>
  <c r="H32" i="3"/>
  <c r="G32" i="3"/>
  <c r="F32" i="3"/>
  <c r="C32" i="3"/>
  <c r="B32" i="3"/>
  <c r="H31" i="3"/>
  <c r="F31" i="3"/>
  <c r="C31" i="3"/>
  <c r="B31" i="3"/>
  <c r="H30" i="3"/>
  <c r="F30" i="3"/>
  <c r="C30" i="3"/>
  <c r="B30" i="3"/>
  <c r="H29" i="3"/>
  <c r="F29" i="3"/>
  <c r="G29" i="3" s="1"/>
  <c r="C29" i="3"/>
  <c r="B29" i="3"/>
  <c r="H28" i="3"/>
  <c r="F28" i="3"/>
  <c r="E5" i="5" s="1"/>
  <c r="C28" i="3"/>
  <c r="B28" i="3"/>
  <c r="H27" i="3"/>
  <c r="F27" i="3"/>
  <c r="C27" i="3"/>
  <c r="B27" i="3"/>
  <c r="O22" i="3"/>
  <c r="G22" i="3"/>
  <c r="C22" i="3"/>
  <c r="C26" i="4" s="1"/>
  <c r="B22" i="3"/>
  <c r="O21" i="3"/>
  <c r="H21" i="3"/>
  <c r="G21" i="3"/>
  <c r="D21" i="3"/>
  <c r="C21" i="3"/>
  <c r="C25" i="4" s="1"/>
  <c r="B21" i="3"/>
  <c r="B25" i="4" s="1"/>
  <c r="O20" i="3"/>
  <c r="G20" i="3"/>
  <c r="C20" i="3"/>
  <c r="C24" i="4" s="1"/>
  <c r="B20" i="3"/>
  <c r="O19" i="3"/>
  <c r="H19" i="3"/>
  <c r="G19" i="3"/>
  <c r="D19" i="3"/>
  <c r="E19" i="3" s="1"/>
  <c r="C19" i="3"/>
  <c r="C23" i="4" s="1"/>
  <c r="B19" i="3"/>
  <c r="B23" i="4" s="1"/>
  <c r="O18" i="3"/>
  <c r="G18" i="3"/>
  <c r="C18" i="3"/>
  <c r="C22" i="4" s="1"/>
  <c r="B18" i="3"/>
  <c r="O17" i="3"/>
  <c r="H17" i="3"/>
  <c r="G17" i="3"/>
  <c r="D17" i="3"/>
  <c r="C17" i="3"/>
  <c r="C21" i="4" s="1"/>
  <c r="B17" i="3"/>
  <c r="B21" i="4" s="1"/>
  <c r="O16" i="3"/>
  <c r="G16" i="3"/>
  <c r="C16" i="3"/>
  <c r="C20" i="4" s="1"/>
  <c r="B16" i="3"/>
  <c r="O15" i="3"/>
  <c r="H15" i="3"/>
  <c r="G15" i="3"/>
  <c r="D15" i="3"/>
  <c r="E15" i="3" s="1"/>
  <c r="C15" i="3"/>
  <c r="C19" i="4" s="1"/>
  <c r="B15" i="3"/>
  <c r="B19" i="4" s="1"/>
  <c r="O14" i="3"/>
  <c r="G14" i="3"/>
  <c r="C14" i="3"/>
  <c r="C18" i="4" s="1"/>
  <c r="B14" i="3"/>
  <c r="O13" i="3"/>
  <c r="H13" i="3"/>
  <c r="G13" i="3"/>
  <c r="D13" i="3"/>
  <c r="C13" i="3"/>
  <c r="C17" i="4" s="1"/>
  <c r="B13" i="3"/>
  <c r="B17" i="4" s="1"/>
  <c r="O12" i="3"/>
  <c r="G12" i="3"/>
  <c r="C12" i="3"/>
  <c r="C16" i="4" s="1"/>
  <c r="B12" i="3"/>
  <c r="O11" i="3"/>
  <c r="H11" i="3"/>
  <c r="G11" i="3"/>
  <c r="D11" i="3"/>
  <c r="C11" i="3"/>
  <c r="C15" i="4" s="1"/>
  <c r="B11" i="3"/>
  <c r="B15" i="4" s="1"/>
  <c r="O10" i="3"/>
  <c r="G10" i="3"/>
  <c r="C10" i="3"/>
  <c r="C14" i="4" s="1"/>
  <c r="B10" i="3"/>
  <c r="O9" i="3"/>
  <c r="H9" i="3"/>
  <c r="G9" i="3"/>
  <c r="D9" i="3"/>
  <c r="C9" i="3"/>
  <c r="C13" i="4" s="1"/>
  <c r="B9" i="3"/>
  <c r="B13" i="4" s="1"/>
  <c r="O8" i="3"/>
  <c r="G8" i="3"/>
  <c r="C8" i="3"/>
  <c r="C12" i="4" s="1"/>
  <c r="B8" i="3"/>
  <c r="O7" i="3"/>
  <c r="H7" i="3"/>
  <c r="G7" i="3"/>
  <c r="D7" i="3"/>
  <c r="C7" i="3"/>
  <c r="C11" i="4" s="1"/>
  <c r="B7" i="3"/>
  <c r="B11" i="4" s="1"/>
  <c r="O6" i="3"/>
  <c r="G6" i="3"/>
  <c r="C6" i="3"/>
  <c r="C10" i="4" s="1"/>
  <c r="B6" i="3"/>
  <c r="O5" i="3"/>
  <c r="H5" i="3"/>
  <c r="G5" i="3"/>
  <c r="D5" i="3"/>
  <c r="C5" i="3"/>
  <c r="C9" i="4" s="1"/>
  <c r="B5" i="3"/>
  <c r="B9" i="4" s="1"/>
  <c r="O4" i="3"/>
  <c r="G4" i="3"/>
  <c r="C4" i="3"/>
  <c r="C8" i="4" s="1"/>
  <c r="B4" i="3"/>
  <c r="O3" i="3"/>
  <c r="H3" i="3"/>
  <c r="G3" i="3"/>
  <c r="D3" i="3"/>
  <c r="C3" i="3"/>
  <c r="C7" i="4" s="1"/>
  <c r="B3" i="3"/>
  <c r="O2" i="3"/>
  <c r="G2" i="3"/>
  <c r="C2" i="3"/>
  <c r="C6" i="4" s="1"/>
  <c r="B2" i="3"/>
  <c r="B6" i="4" s="1"/>
  <c r="B47" i="2"/>
  <c r="B46" i="2"/>
  <c r="B45" i="2"/>
  <c r="B44" i="2"/>
  <c r="B43" i="2"/>
  <c r="B42" i="2"/>
  <c r="B41" i="2"/>
  <c r="B40" i="2"/>
  <c r="B39" i="2"/>
  <c r="B38" i="2"/>
  <c r="B37" i="2"/>
  <c r="B36" i="2"/>
  <c r="B35" i="2"/>
  <c r="B34" i="2"/>
  <c r="B33" i="2"/>
  <c r="B32" i="2"/>
  <c r="B31" i="2"/>
  <c r="B30" i="2"/>
  <c r="B29" i="2"/>
  <c r="B28" i="2"/>
  <c r="G25" i="2"/>
  <c r="A24" i="2"/>
  <c r="A23" i="2"/>
  <c r="A22" i="2"/>
  <c r="A21" i="2"/>
  <c r="A20" i="2"/>
  <c r="A19" i="2"/>
  <c r="A18" i="2"/>
  <c r="A17" i="2"/>
  <c r="A16" i="2"/>
  <c r="A15" i="2"/>
  <c r="A14" i="2"/>
  <c r="A13" i="2"/>
  <c r="A12" i="2"/>
  <c r="A11" i="2"/>
  <c r="A10" i="2"/>
  <c r="A9" i="2"/>
  <c r="A8" i="2"/>
  <c r="A7" i="2"/>
  <c r="A6" i="2"/>
  <c r="A5" i="2"/>
  <c r="A4" i="2"/>
  <c r="G28" i="3" l="1"/>
  <c r="F11" i="3"/>
  <c r="H2" i="3"/>
  <c r="E11" i="3"/>
  <c r="B30" i="5"/>
  <c r="A30" i="5"/>
  <c r="A83" i="3" s="1"/>
  <c r="E7" i="5"/>
  <c r="G30" i="3"/>
  <c r="B46" i="5"/>
  <c r="A46" i="5"/>
  <c r="A99" i="3" s="1"/>
  <c r="E23" i="5"/>
  <c r="G46" i="3"/>
  <c r="H12" i="3"/>
  <c r="D12" i="3"/>
  <c r="B16" i="4"/>
  <c r="F19" i="3"/>
  <c r="H20" i="3"/>
  <c r="D20" i="3"/>
  <c r="B24" i="4"/>
  <c r="E7" i="3"/>
  <c r="F7" i="3" s="1"/>
  <c r="B10" i="4"/>
  <c r="H6" i="3"/>
  <c r="D6" i="3"/>
  <c r="B14" i="4"/>
  <c r="H10" i="3"/>
  <c r="D10" i="3"/>
  <c r="B18" i="4"/>
  <c r="H14" i="3"/>
  <c r="D14" i="3"/>
  <c r="B22" i="4"/>
  <c r="H18" i="3"/>
  <c r="D18" i="3"/>
  <c r="B26" i="4"/>
  <c r="H22" i="3"/>
  <c r="D22" i="3"/>
  <c r="E16" i="5"/>
  <c r="B39" i="5"/>
  <c r="A39" i="5"/>
  <c r="A92" i="3" s="1"/>
  <c r="G39" i="3"/>
  <c r="H8" i="3"/>
  <c r="D8" i="3"/>
  <c r="B12" i="4"/>
  <c r="F15" i="3"/>
  <c r="H16" i="3"/>
  <c r="D16" i="3"/>
  <c r="B20" i="4"/>
  <c r="E6" i="5"/>
  <c r="B29" i="5"/>
  <c r="A29" i="5"/>
  <c r="A82" i="3" s="1"/>
  <c r="E12" i="5"/>
  <c r="B35" i="5"/>
  <c r="A35" i="5"/>
  <c r="A88" i="3" s="1"/>
  <c r="G35" i="3"/>
  <c r="E22" i="5"/>
  <c r="B45" i="5"/>
  <c r="A45" i="5"/>
  <c r="A98" i="3" s="1"/>
  <c r="D2" i="3"/>
  <c r="E3" i="3"/>
  <c r="F3" i="3" s="1"/>
  <c r="B7" i="4"/>
  <c r="H4" i="3"/>
  <c r="D4" i="3"/>
  <c r="B8" i="4"/>
  <c r="E5" i="3"/>
  <c r="F5" i="3" s="1"/>
  <c r="E9" i="3"/>
  <c r="F9" i="3" s="1"/>
  <c r="E13" i="3"/>
  <c r="F13" i="3" s="1"/>
  <c r="E17" i="3"/>
  <c r="F17" i="3" s="1"/>
  <c r="E21" i="3"/>
  <c r="F21" i="3" s="1"/>
  <c r="B34" i="5"/>
  <c r="A34" i="5"/>
  <c r="A87" i="3" s="1"/>
  <c r="E11" i="5"/>
  <c r="E18" i="5"/>
  <c r="G41" i="3"/>
  <c r="B41" i="5"/>
  <c r="A41" i="5"/>
  <c r="A94" i="3" s="1"/>
  <c r="E8" i="5"/>
  <c r="B31" i="5"/>
  <c r="A31" i="5"/>
  <c r="A84" i="3" s="1"/>
  <c r="G31" i="3"/>
  <c r="B42" i="5"/>
  <c r="A42" i="5"/>
  <c r="A95" i="3" s="1"/>
  <c r="E19" i="5"/>
  <c r="E24" i="5"/>
  <c r="B47" i="5"/>
  <c r="A47" i="5"/>
  <c r="A100" i="3" s="1"/>
  <c r="G47" i="3"/>
  <c r="B86" i="3"/>
  <c r="A37" i="5"/>
  <c r="A90" i="3" s="1"/>
  <c r="E4" i="5"/>
  <c r="G27" i="3"/>
  <c r="G37" i="3"/>
  <c r="B38" i="5"/>
  <c r="A38" i="5"/>
  <c r="A91" i="3" s="1"/>
  <c r="E15" i="5"/>
  <c r="G42" i="3"/>
  <c r="E20" i="5"/>
  <c r="B43" i="5"/>
  <c r="A43" i="5"/>
  <c r="A96" i="3" s="1"/>
  <c r="G43" i="3"/>
  <c r="C86" i="3"/>
  <c r="G9" i="5" s="1"/>
  <c r="B37" i="5"/>
  <c r="B32" i="5"/>
  <c r="A32" i="5"/>
  <c r="A85" i="3" s="1"/>
  <c r="B36" i="5"/>
  <c r="A36" i="5"/>
  <c r="A89" i="3" s="1"/>
  <c r="B40" i="5"/>
  <c r="A40" i="5"/>
  <c r="A93" i="3" s="1"/>
  <c r="B44" i="5"/>
  <c r="A44" i="5"/>
  <c r="A97" i="3" s="1"/>
  <c r="E9" i="5"/>
  <c r="E13" i="5"/>
  <c r="E17" i="5"/>
  <c r="E21" i="5"/>
  <c r="D101" i="3"/>
  <c r="B9" i="5" l="1"/>
  <c r="D11" i="4"/>
  <c r="B59" i="3"/>
  <c r="M8" i="3"/>
  <c r="B15" i="5"/>
  <c r="D17" i="4"/>
  <c r="B65" i="3"/>
  <c r="M14" i="3"/>
  <c r="B11" i="5"/>
  <c r="D13" i="4"/>
  <c r="B61" i="3"/>
  <c r="M10" i="3"/>
  <c r="B7" i="5"/>
  <c r="D9" i="4"/>
  <c r="B57" i="3"/>
  <c r="M6" i="3"/>
  <c r="B23" i="5"/>
  <c r="D25" i="4"/>
  <c r="B73" i="3"/>
  <c r="B19" i="5"/>
  <c r="D21" i="4"/>
  <c r="B69" i="3"/>
  <c r="M18" i="3"/>
  <c r="B5" i="5"/>
  <c r="D7" i="4"/>
  <c r="B55" i="3"/>
  <c r="M4" i="3"/>
  <c r="B90" i="3"/>
  <c r="C90" i="3"/>
  <c r="G13" i="5" s="1"/>
  <c r="B82" i="3"/>
  <c r="B21" i="5"/>
  <c r="D23" i="4"/>
  <c r="B71" i="3"/>
  <c r="M20" i="3"/>
  <c r="C83" i="3"/>
  <c r="G6" i="5" s="1"/>
  <c r="B83" i="3"/>
  <c r="B13" i="5"/>
  <c r="D15" i="4"/>
  <c r="B63" i="3"/>
  <c r="M12" i="3"/>
  <c r="B97" i="3"/>
  <c r="C97" i="3"/>
  <c r="G20" i="5" s="1"/>
  <c r="C89" i="3"/>
  <c r="G12" i="5" s="1"/>
  <c r="B89" i="3"/>
  <c r="B91" i="3"/>
  <c r="C91" i="3"/>
  <c r="G14" i="5" s="1"/>
  <c r="C84" i="3"/>
  <c r="G7" i="5" s="1"/>
  <c r="B84" i="3"/>
  <c r="B94" i="3"/>
  <c r="C94" i="3"/>
  <c r="G17" i="5" s="1"/>
  <c r="E4" i="3"/>
  <c r="F4" i="3"/>
  <c r="B98" i="3"/>
  <c r="C98" i="3"/>
  <c r="G21" i="5" s="1"/>
  <c r="C88" i="3"/>
  <c r="G11" i="5" s="1"/>
  <c r="B88" i="3"/>
  <c r="B17" i="5"/>
  <c r="D19" i="4"/>
  <c r="B67" i="3"/>
  <c r="M16" i="3"/>
  <c r="E22" i="3"/>
  <c r="F22" i="3"/>
  <c r="B96" i="3"/>
  <c r="C96" i="3"/>
  <c r="G19" i="5" s="1"/>
  <c r="E10" i="3"/>
  <c r="F10" i="3"/>
  <c r="B99" i="3"/>
  <c r="C99" i="3"/>
  <c r="G22" i="5" s="1"/>
  <c r="B100" i="3"/>
  <c r="C100" i="3"/>
  <c r="G23" i="5" s="1"/>
  <c r="B95" i="3"/>
  <c r="C95" i="3"/>
  <c r="G18" i="5" s="1"/>
  <c r="C87" i="3"/>
  <c r="G10" i="5" s="1"/>
  <c r="B87" i="3"/>
  <c r="E20" i="3"/>
  <c r="F20" i="3"/>
  <c r="E12" i="3"/>
  <c r="F12" i="3"/>
  <c r="B93" i="3"/>
  <c r="C93" i="3"/>
  <c r="G16" i="5" s="1"/>
  <c r="C85" i="3"/>
  <c r="G8" i="5" s="1"/>
  <c r="B85" i="3"/>
  <c r="D86" i="3"/>
  <c r="E2" i="3"/>
  <c r="F2" i="3"/>
  <c r="E16" i="3"/>
  <c r="F16" i="3"/>
  <c r="E8" i="3"/>
  <c r="F8" i="3"/>
  <c r="B92" i="3"/>
  <c r="C92" i="3"/>
  <c r="G15" i="5" s="1"/>
  <c r="E18" i="3"/>
  <c r="F18" i="3" s="1"/>
  <c r="E14" i="3"/>
  <c r="F14" i="3"/>
  <c r="E6" i="3"/>
  <c r="F6" i="3" s="1"/>
  <c r="D91" i="3" l="1"/>
  <c r="D95" i="3"/>
  <c r="D98" i="3"/>
  <c r="D87" i="3"/>
  <c r="D90" i="3"/>
  <c r="D10" i="4"/>
  <c r="B58" i="3"/>
  <c r="B8" i="5"/>
  <c r="M7" i="3"/>
  <c r="D22" i="4"/>
  <c r="B70" i="3"/>
  <c r="B20" i="5"/>
  <c r="M19" i="3"/>
  <c r="D12" i="4"/>
  <c r="B60" i="3"/>
  <c r="B10" i="5"/>
  <c r="M9" i="3"/>
  <c r="D26" i="4"/>
  <c r="B74" i="3"/>
  <c r="B24" i="5"/>
  <c r="I4" i="3"/>
  <c r="J4" i="3"/>
  <c r="I10" i="3"/>
  <c r="J10" i="3"/>
  <c r="D6" i="4"/>
  <c r="B54" i="3"/>
  <c r="B4" i="5"/>
  <c r="M2" i="3"/>
  <c r="A52" i="3" a="1"/>
  <c r="M3" i="3"/>
  <c r="D24" i="4"/>
  <c r="B72" i="3"/>
  <c r="B22" i="5"/>
  <c r="M21" i="3"/>
  <c r="I16" i="3"/>
  <c r="J16" i="3"/>
  <c r="D18" i="4"/>
  <c r="B66" i="3"/>
  <c r="M15" i="3"/>
  <c r="B16" i="5"/>
  <c r="D85" i="3"/>
  <c r="D100" i="3"/>
  <c r="D96" i="3"/>
  <c r="D94" i="3"/>
  <c r="D84" i="3"/>
  <c r="D97" i="3"/>
  <c r="I12" i="3"/>
  <c r="J12" i="3"/>
  <c r="I18" i="3"/>
  <c r="J18" i="3"/>
  <c r="I8" i="3"/>
  <c r="J8" i="3"/>
  <c r="D92" i="3"/>
  <c r="D20" i="4"/>
  <c r="B68" i="3"/>
  <c r="B18" i="5"/>
  <c r="M17" i="3"/>
  <c r="D16" i="4"/>
  <c r="B64" i="3"/>
  <c r="B14" i="5"/>
  <c r="M13" i="3"/>
  <c r="D14" i="4"/>
  <c r="B62" i="3"/>
  <c r="M11" i="3"/>
  <c r="B12" i="5"/>
  <c r="D88" i="3"/>
  <c r="D8" i="4"/>
  <c r="B56" i="3"/>
  <c r="B6" i="5"/>
  <c r="M5" i="3"/>
  <c r="I20" i="3"/>
  <c r="J20" i="3"/>
  <c r="M22" i="3"/>
  <c r="I6" i="3"/>
  <c r="J6" i="3"/>
  <c r="I14" i="3"/>
  <c r="J14" i="3"/>
  <c r="D93" i="3"/>
  <c r="D99" i="3"/>
  <c r="D89" i="3"/>
  <c r="D83" i="3"/>
  <c r="J5" i="3" l="1"/>
  <c r="I5" i="3"/>
  <c r="J11" i="3"/>
  <c r="I11" i="3"/>
  <c r="F22" i="4"/>
  <c r="L18" i="3"/>
  <c r="K18" i="3"/>
  <c r="F20" i="4"/>
  <c r="L16" i="3"/>
  <c r="K16" i="3"/>
  <c r="J3" i="3"/>
  <c r="I3" i="3"/>
  <c r="I2" i="3"/>
  <c r="J2" i="3"/>
  <c r="F14" i="4"/>
  <c r="L10" i="3"/>
  <c r="K10" i="3"/>
  <c r="F18" i="4"/>
  <c r="L14" i="3"/>
  <c r="K14" i="3"/>
  <c r="I22" i="3"/>
  <c r="J22" i="3"/>
  <c r="J13" i="3"/>
  <c r="I13" i="3"/>
  <c r="E22" i="4"/>
  <c r="N18" i="3"/>
  <c r="G22" i="4" s="1"/>
  <c r="E20" i="4"/>
  <c r="N16" i="3"/>
  <c r="G20" i="4" s="1"/>
  <c r="J7" i="3"/>
  <c r="I7" i="3"/>
  <c r="F24" i="4"/>
  <c r="L20" i="3"/>
  <c r="K20" i="3"/>
  <c r="F10" i="4"/>
  <c r="L6" i="3"/>
  <c r="K6" i="3"/>
  <c r="E24" i="4"/>
  <c r="N20" i="3"/>
  <c r="G24" i="4" s="1"/>
  <c r="J17" i="3"/>
  <c r="I17" i="3"/>
  <c r="E12" i="4"/>
  <c r="N8" i="3"/>
  <c r="G12" i="4" s="1"/>
  <c r="E16" i="4"/>
  <c r="N12" i="3"/>
  <c r="G16" i="4" s="1"/>
  <c r="J15" i="3"/>
  <c r="I15" i="3"/>
  <c r="J21" i="3"/>
  <c r="I21" i="3"/>
  <c r="E8" i="4"/>
  <c r="N4" i="3"/>
  <c r="G8" i="4" s="1"/>
  <c r="J19" i="3"/>
  <c r="I19" i="3"/>
  <c r="E10" i="4"/>
  <c r="N6" i="3"/>
  <c r="G10" i="4" s="1"/>
  <c r="B52" i="3"/>
  <c r="D52" i="3"/>
  <c r="C52" i="3"/>
  <c r="A52" i="3"/>
  <c r="E14" i="4"/>
  <c r="N10" i="3"/>
  <c r="G14" i="4" s="1"/>
  <c r="E18" i="4"/>
  <c r="N14" i="3"/>
  <c r="G18" i="4" s="1"/>
  <c r="F12" i="4"/>
  <c r="L8" i="3"/>
  <c r="K8" i="3"/>
  <c r="F16" i="4"/>
  <c r="L12" i="3"/>
  <c r="K12" i="3"/>
  <c r="F8" i="4"/>
  <c r="L4" i="3"/>
  <c r="K4" i="3"/>
  <c r="J9" i="3"/>
  <c r="I9" i="3"/>
  <c r="E23" i="4" l="1"/>
  <c r="N19" i="3"/>
  <c r="G23" i="4" s="1"/>
  <c r="E25" i="4"/>
  <c r="N21" i="3"/>
  <c r="G25" i="4" s="1"/>
  <c r="E17" i="4"/>
  <c r="N13" i="3"/>
  <c r="G17" i="4" s="1"/>
  <c r="F25" i="4"/>
  <c r="K21" i="3"/>
  <c r="L21" i="3"/>
  <c r="F17" i="4"/>
  <c r="K13" i="3"/>
  <c r="L13" i="3"/>
  <c r="F15" i="4"/>
  <c r="K11" i="3"/>
  <c r="L11" i="3"/>
  <c r="E13" i="4"/>
  <c r="N9" i="3"/>
  <c r="G13" i="4" s="1"/>
  <c r="C59" i="3"/>
  <c r="C61" i="3"/>
  <c r="C73" i="3"/>
  <c r="C63" i="3"/>
  <c r="C55" i="3"/>
  <c r="C67" i="3"/>
  <c r="C65" i="3"/>
  <c r="C57" i="3"/>
  <c r="C71" i="3"/>
  <c r="C69" i="3"/>
  <c r="C54" i="3"/>
  <c r="C68" i="3"/>
  <c r="C70" i="3"/>
  <c r="C74" i="3"/>
  <c r="C58" i="3"/>
  <c r="C56" i="3"/>
  <c r="C72" i="3"/>
  <c r="C62" i="3"/>
  <c r="C60" i="3"/>
  <c r="C66" i="3"/>
  <c r="C64" i="3"/>
  <c r="E19" i="4"/>
  <c r="N15" i="3"/>
  <c r="G19" i="4" s="1"/>
  <c r="E11" i="4"/>
  <c r="N7" i="3"/>
  <c r="G11" i="4" s="1"/>
  <c r="F26" i="4"/>
  <c r="K22" i="3"/>
  <c r="L22" i="3"/>
  <c r="F6" i="4"/>
  <c r="K2" i="3"/>
  <c r="L2" i="3"/>
  <c r="E9" i="4"/>
  <c r="N5" i="3"/>
  <c r="G9" i="4" s="1"/>
  <c r="E21" i="4"/>
  <c r="N17" i="3"/>
  <c r="G21" i="4" s="1"/>
  <c r="E7" i="4"/>
  <c r="N3" i="3"/>
  <c r="G7" i="4" s="1"/>
  <c r="E15" i="4"/>
  <c r="N11" i="3"/>
  <c r="G15" i="4" s="1"/>
  <c r="F23" i="4"/>
  <c r="K19" i="3"/>
  <c r="L19" i="3"/>
  <c r="F21" i="4"/>
  <c r="K17" i="3"/>
  <c r="L17" i="3"/>
  <c r="F7" i="4"/>
  <c r="K3" i="3"/>
  <c r="L3" i="3"/>
  <c r="F13" i="4"/>
  <c r="K9" i="3"/>
  <c r="L9" i="3"/>
  <c r="F19" i="4"/>
  <c r="K15" i="3"/>
  <c r="L15" i="3"/>
  <c r="F11" i="4"/>
  <c r="K7" i="3"/>
  <c r="L7" i="3"/>
  <c r="E26" i="4"/>
  <c r="N22" i="3"/>
  <c r="G26" i="4" s="1"/>
  <c r="E6" i="4"/>
  <c r="N2" i="3"/>
  <c r="G6" i="4" s="1"/>
  <c r="F9" i="4"/>
  <c r="K5" i="3"/>
  <c r="L5" i="3"/>
  <c r="C10" i="5" l="1"/>
  <c r="D60" i="3"/>
  <c r="C8" i="5"/>
  <c r="D58" i="3"/>
  <c r="C4" i="5"/>
  <c r="D54" i="3"/>
  <c r="B75" i="3"/>
  <c r="B26" i="5" s="1"/>
  <c r="C15" i="5"/>
  <c r="D65" i="3"/>
  <c r="C23" i="5"/>
  <c r="D73" i="3"/>
  <c r="C12" i="5"/>
  <c r="D62" i="3"/>
  <c r="C24" i="5"/>
  <c r="D74" i="3"/>
  <c r="C19" i="5"/>
  <c r="D69" i="3"/>
  <c r="C17" i="5"/>
  <c r="D67" i="3"/>
  <c r="C11" i="5"/>
  <c r="D61" i="3"/>
  <c r="C14" i="5"/>
  <c r="D64" i="3"/>
  <c r="C22" i="5"/>
  <c r="D72" i="3"/>
  <c r="C20" i="5"/>
  <c r="D70" i="3"/>
  <c r="C21" i="5"/>
  <c r="D71" i="3"/>
  <c r="C5" i="5"/>
  <c r="D55" i="3"/>
  <c r="C9" i="5"/>
  <c r="D59" i="3"/>
  <c r="C16" i="5"/>
  <c r="D66" i="3"/>
  <c r="C6" i="5"/>
  <c r="D56" i="3"/>
  <c r="C18" i="5"/>
  <c r="D68" i="3"/>
  <c r="C7" i="5"/>
  <c r="D57" i="3"/>
  <c r="C13" i="5"/>
  <c r="D63" i="3"/>
  <c r="A80" i="3" a="1"/>
  <c r="D80" i="3" s="1"/>
  <c r="B80" i="3" l="1"/>
  <c r="C80" i="3"/>
  <c r="A80" i="3"/>
  <c r="C82" i="3" s="1"/>
  <c r="D82" i="3" l="1"/>
  <c r="B103" i="3"/>
  <c r="G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автоматизация</author>
  </authors>
  <commentList>
    <comment ref="A27" authorId="0" shapeId="0" xr:uid="{00000000-0006-0000-0200-000001000000}">
      <text>
        <r>
          <rPr>
            <sz val="11"/>
            <color theme="1"/>
            <rFont val="Calibri"/>
            <family val="2"/>
            <scheme val="minor"/>
          </rPr>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r>
      </text>
    </comment>
    <comment ref="A28" authorId="0" shapeId="0" xr:uid="{00000000-0006-0000-0200-000002000000}">
      <text>
        <r>
          <rPr>
            <sz val="11"/>
            <color theme="1"/>
            <rFont val="Calibri"/>
            <family val="2"/>
            <scheme val="minor"/>
          </rPr>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r>
      </text>
    </comment>
    <comment ref="A29" authorId="0" shapeId="0" xr:uid="{00000000-0006-0000-0200-000003000000}">
      <text>
        <r>
          <rPr>
            <sz val="11"/>
            <color theme="1"/>
            <rFont val="Calibri"/>
            <family val="2"/>
            <scheme val="minor"/>
          </rPr>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r>
      </text>
    </comment>
  </commentList>
</comments>
</file>

<file path=xl/sharedStrings.xml><?xml version="1.0" encoding="utf-8"?>
<sst xmlns="http://schemas.openxmlformats.org/spreadsheetml/2006/main" count="128" uniqueCount="110">
  <si>
    <t>Книга</t>
  </si>
  <si>
    <t>ASTM D86 расчёт (группы 1-4)</t>
  </si>
  <si>
    <t>Версия</t>
  </si>
  <si>
    <t>3.11.0</t>
  </si>
  <si>
    <t>Дата генерации</t>
  </si>
  <si>
    <t>2026-10-07</t>
  </si>
  <si>
    <t>Стандарт</t>
  </si>
  <si>
    <t>ASTM D86-20a (группы 1-4)</t>
  </si>
  <si>
    <t>Метод</t>
  </si>
  <si>
    <t>Определение фракционного состава при атмосферном давлении</t>
  </si>
  <si>
    <t>Источник расчёта</t>
  </si>
  <si>
    <t>fraction_lib (Python)</t>
  </si>
  <si>
    <t>Автор/Разработчик</t>
  </si>
  <si>
    <t>лаборатория (заполнить)</t>
  </si>
  <si>
    <t>Проверил</t>
  </si>
  <si>
    <t>Утвердил</t>
  </si>
  <si>
    <t>Примечание</t>
  </si>
  <si>
    <t>Книга генерируется скриптом — правки вручную не вносить</t>
  </si>
  <si>
    <t>Политика пустых ячеек (TD-007)</t>
  </si>
  <si>
    <t>Пустая ячейка = не введено (НЕ РАССЧИТАНО). Ошибка формулы = ошибка расчёта. Статус контроля: НЕ РАССЧИТАНО / OK / НЕ СООТВЕТСТВУЕТ.</t>
  </si>
  <si>
    <t>Критерий K (ГСО)</t>
  </si>
  <si>
    <t>K = (1/√2)·√(R² − r²/2) — из свидетельства на ГСО, НЕ изменять</t>
  </si>
  <si>
    <t>Коэффициент 0,84 (ОК)</t>
  </si>
  <si>
    <t>Из сборника «Метрология в химическом анализе» (АНАЛИТИКА), НЕ изменять</t>
  </si>
  <si>
    <t>Атмосферное давление, мм рт.ст.</t>
  </si>
  <si>
    <t>Группа (1-4)</t>
  </si>
  <si>
    <t>Объём образца, мл</t>
  </si>
  <si>
    <t>% отгона</t>
  </si>
  <si>
    <t>V, мл</t>
  </si>
  <si>
    <t>T1, °C</t>
  </si>
  <si>
    <t>T2, °C</t>
  </si>
  <si>
    <t>Потери, %</t>
  </si>
  <si>
    <t>Остаток, %</t>
  </si>
  <si>
    <t>Отгон, %</t>
  </si>
  <si>
    <t>Проверка входных данных:</t>
  </si>
  <si>
    <t>Монотонность 1% -&gt; 2%</t>
  </si>
  <si>
    <t>Монотонность 2% -&gt; 3%</t>
  </si>
  <si>
    <t>Монотонность 3% -&gt; 4%</t>
  </si>
  <si>
    <t>Монотонность 4% -&gt; 5%</t>
  </si>
  <si>
    <t>Монотонность 5% -&gt; 6%</t>
  </si>
  <si>
    <t>Монотонность 6% -&gt; 7%</t>
  </si>
  <si>
    <t>Монотонность 7% -&gt; 8%</t>
  </si>
  <si>
    <t>Монотонность 8% -&gt; 9%</t>
  </si>
  <si>
    <t>Монотонность 9% -&gt; 10%</t>
  </si>
  <si>
    <t>Монотонность 10% -&gt; 11%</t>
  </si>
  <si>
    <t>Монотонность 11% -&gt; 12%</t>
  </si>
  <si>
    <t>Монотонность 12% -&gt; 13%</t>
  </si>
  <si>
    <t>Монотонность 13% -&gt; 14%</t>
  </si>
  <si>
    <t>Баланс (отгон+потери+остаток)</t>
  </si>
  <si>
    <t>Примечание: пустые температуры не нарушение</t>
  </si>
  <si>
    <t>Монотонность 16% -&gt; 17%</t>
  </si>
  <si>
    <t>Монотонность 17% -&gt; 18%</t>
  </si>
  <si>
    <t>Монотонность 18% -&gt; 19%</t>
  </si>
  <si>
    <t>Монотонность 19% -&gt; 20%</t>
  </si>
  <si>
    <t>Монотонность 20% -&gt; 21%</t>
  </si>
  <si>
    <t>T1</t>
  </si>
  <si>
    <t>T2</t>
  </si>
  <si>
    <t>Хср</t>
  </si>
  <si>
    <t>Поправка Янга</t>
  </si>
  <si>
    <t>T_corr</t>
  </si>
  <si>
    <t>Потери (защ.)</t>
  </si>
  <si>
    <t>|T1-T2|</t>
  </si>
  <si>
    <t>r</t>
  </si>
  <si>
    <t>R</t>
  </si>
  <si>
    <t>K (ГСО)</t>
  </si>
  <si>
    <t>0.84R (ОК)</t>
  </si>
  <si>
    <t>Крутизна S</t>
  </si>
  <si>
    <t>Статус</t>
  </si>
  <si>
    <t>% выпаривания (Pe)</t>
  </si>
  <si>
    <t>ВЕТКА 1 — ЗАДАНЫ ОБЪЁМЫ (выпаривание): % отгона → T1/T2 → поправка давления → T_corr (приведена к 760). Ввод: T1/T2 и объёмы в «Ввод» (зелёные ячейки), Ввод!$G$1 = объём образца, мл.</t>
  </si>
  <si>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</si>
  <si>
    <t>T_НД (при 760), °C</t>
  </si>
  <si>
    <t>T_фикс (ФИКСИРОВАТЬ), °C</t>
  </si>
  <si>
    <t>C_проверка, °C</t>
  </si>
  <si>
    <t>V1, мл (проба 1)</t>
  </si>
  <si>
    <t>V2, мл (проба 2)</t>
  </si>
  <si>
    <t>Vср, %</t>
  </si>
  <si>
    <t>r, %</t>
  </si>
  <si>
    <t>ПОДСКАЗКА</t>
  </si>
  <si>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</si>
  <si>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0.00012*(760-Ввод!$B$1).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</si>
  <si>
    <t>АППРОКСИМАЦИЯ КРИВОЙ ВЕТКИ 1 КУБИЧЕСКИМ ПОЛИНОМОМ (T_corr = a3·V³+a2·V²+a1·V+a0; кривая НЕ линейна):</t>
  </si>
  <si>
    <t>a3 (x³)</t>
  </si>
  <si>
    <t>a2 (x²)</t>
  </si>
  <si>
    <t>a1 (x)</t>
  </si>
  <si>
    <t>a0</t>
  </si>
  <si>
    <t>V, %</t>
  </si>
  <si>
    <t>T_corr (эксп.), °C</t>
  </si>
  <si>
    <t>T_полином, °C</t>
  </si>
  <si>
    <t>Остаток (эксп−полином)</t>
  </si>
  <si>
    <t>R² (эксп vs полином):</t>
  </si>
  <si>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</si>
  <si>
    <t>ВТОРАЯ МОДЕЛЬ (ВЕТКА 2): T_НД = a3·Vср³+a2·Vср²+a1·Vср+a0 по ФАКТИЧЕСКИ ВВЕДЁННЫМ точкам (Vср → T_НД), собранным без пустот:</t>
  </si>
  <si>
    <t>T_НД, °C (из НД, при 760)</t>
  </si>
  <si>
    <t>Остаток (T_НД−T_полином)</t>
  </si>
  <si>
    <t>R² (T_НД vs полином Ветки 2):</t>
  </si>
  <si>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</si>
  <si>
    <t>ИТОГ расчёта D86</t>
  </si>
  <si>
    <t>Давление, мм рт.ст.</t>
  </si>
  <si>
    <t>Обратный пересчёт T-&gt;V (коррекция давления ДО) и V-&gt;T (коррекция ПОСЛЕ) — в листе «Расчёт»</t>
  </si>
  <si>
    <t>Графики дистилляции (D86). Диаграмма 1 — Ветка 1 (% отгона → T_corr + полином); Диаграмма 2 — Ветка 2 (Vср, % → T_НД + полином).</t>
  </si>
  <si>
    <t>T_corr (эксперимент)</t>
  </si>
  <si>
    <t>T_полином (аппроксимация)</t>
  </si>
  <si>
    <t>Vср, % (Ветка 2)</t>
  </si>
  <si>
    <t>T_полином Ветки 2 (аппроксимация)</t>
  </si>
  <si>
    <t>R² (полином Ветки 1, из листа «Расчёт»):</t>
  </si>
  <si>
    <t>R² (полином Ветки 2, из листа «Расчёт»):</t>
  </si>
  <si>
    <t>ВСПОМОГАТЕЛЬНАЯ ОБЛАСТЬ (Ветка 2): пары Vср → T_НД, собранные БЕЗ ПУСТОТ (для LINEST второй модели и второй диаграммы)</t>
  </si>
  <si>
    <t>Vср, % (без пустот)</t>
  </si>
  <si>
    <t>T_НД, °C (без пустот)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</si>
</sst>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6" x14ac:knownFonts="1">
    <font>
      <sz val="11"/>
      <color theme="1"/>
      <name val="Calibri"/>
      <family val="2"/>
      <scheme val="minor"/>
    </font>
    <font>
      <b/>
      <sz val="11"/>
      <name val="Calibri"/>
      <family val="2"/>
      <charset val="204"/>
    </font>
    <font>
      <i/>
      <sz val="9"/>
      <color rgb="FF7F6000"/>
      <name val="Calibri"/>
      <family val="2"/>
      <charset val="204"/>
    </font>
    <font>
      <b/>
      <sz val="11"/>
      <name val="Calibri"/>
      <family val="2"/>
      <charset val="204"/>
    </font>
    <font>
      <b/>
      <sz val="11"/>
      <name val="Calibri"/>
      <family val="2"/>
      <charset val="204"/>
    </font>
    <font>
      <i/>
      <sz val="9"/>
      <color rgb="FF7F6000"/>
      <name val="Calibri"/>
      <family val="2"/>
      <charset val="204"/>
    </font>
  </fonts>
  <fills count="12">
    <fill>
      <patternFill patternType="none"/>
    </fill>
    <fill>
      <patternFill patternType="gray125"/>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FFFFF2CC"/>
      </patternFill>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FFE4DFEC"/>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3">
    <xf numFmtId="0" fontId="0" fillId="0" borderId="0" xfId="0"/>
    <xf numFmtId="0" fontId="1" fillId="2" borderId="1" xfId="0" applyFont="1" applyFill="1" applyBorder="1"/>
    <xf numFmtId="0" fontId="0" fillId="0" borderId="1" xfId="0" applyBorder="1"/>
    <xf numFmtId="0" fontId="1" fillId="3" borderId="1" xfId="0" applyFont="1" applyFill="1" applyBorder="1"/>
    <xf numFmtId="0" fontId="0" fillId="3" borderId="1" xfId="0" applyFill="1" applyBorder="1"/>
    <xf numFmtId="0" fontId="0" fillId="4" borderId="1" xfId="0" applyFill="1" applyBorder="1"/>
    <xf numFmtId="0" fontId="0" fillId="5" borderId="1" xfId="0" applyFill="1" applyBorder="1"/>
    <xf numFmtId="0" fontId="1" fillId="5" borderId="1" xfId="0" applyFont="1" applyFill="1" applyBorder="1"/>
    <xf numFmtId="164" fontId="0" fillId="5" borderId="1" xfId="0" applyNumberFormat="1" applyFill="1" applyBorder="1"/>
    <xf numFmtId="0" fontId="2" fillId="3" borderId="1" xfId="0" applyFont="1" applyFill="1" applyBorder="1"/>
    <xf numFmtId="0" fontId="3" fillId="6" borderId="2" xfId="0" applyFont="1" applyFill="1" applyBorder="1"/>
    <xf numFmtId="0" fontId="4" fillId="6" borderId="2" xfId="0" applyFont="1" applyFill="1" applyBorder="1"/>
    <xf numFmtId="0" fontId="3" fillId="7" borderId="2" xfId="0" applyFont="1" applyFill="1" applyBorder="1"/>
    <xf numFmtId="165" fontId="0" fillId="9" borderId="2" xfId="0" applyNumberFormat="1" applyFill="1" applyBorder="1"/>
    <xf numFmtId="165" fontId="0" fillId="10" borderId="2" xfId="0" applyNumberFormat="1" applyFill="1" applyBorder="1"/>
    <xf numFmtId="2" fontId="0" fillId="10" borderId="2" xfId="0" applyNumberFormat="1" applyFill="1" applyBorder="1"/>
    <xf numFmtId="0" fontId="0" fillId="10" borderId="2" xfId="0" applyFill="1" applyBorder="1"/>
    <xf numFmtId="0" fontId="5" fillId="8" borderId="2" xfId="0" applyFont="1" applyFill="1" applyBorder="1"/>
    <xf numFmtId="0" fontId="4" fillId="11" borderId="2" xfId="0" applyFont="1" applyFill="1" applyBorder="1"/>
    <xf numFmtId="164" fontId="0" fillId="10" borderId="2" xfId="0" applyNumberFormat="1" applyFill="1" applyBorder="1"/>
    <xf numFmtId="0" fontId="3" fillId="11" borderId="2" xfId="0" applyFont="1" applyFill="1" applyBorder="1"/>
    <xf numFmtId="166" fontId="0" fillId="10" borderId="2" xfId="0" applyNumberFormat="1" applyFill="1" applyBorder="1"/>
    <xf numFmtId="0" fontId="3" fillId="8" borderId="2" xfId="0" applyFont="1" applyFill="1" applyBorder="1"/>
  </cellXfs>
  <cellStyles count="1">
    <cellStyle name="Обычный" xfId="0" builtinId="0"/>
  </cellStyles>
  <dxfs count="1">
    <dxf>
      <font>
        <b/>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13"/>
  <c:chart>
    <c:title>
      <c:tx>
        <c:rich>
          <a:bodyPr/>
          <a:lstStyle/>
          <a:p>
            <a:pPr>
              <a:defRPr/>
            </a:pPr>
            <a:r>
              <a:rPr lang="ru-RU"/>
              <a:t>Ветка 1 — дистилляция </a:t>
            </a:r>
            <a:r>
              <a:rPr lang="en-US"/>
              <a:t>D86: </a:t>
            </a:r>
            <a:r>
              <a:rPr lang="ru-RU"/>
              <a:t>эксперимент </a:t>
            </a:r>
            <a:r>
              <a:rPr lang="en-US"/>
              <a:t>vs </a:t>
            </a:r>
            <a:r>
              <a:rPr lang="ru-RU"/>
              <a:t>полином, </a:t>
            </a:r>
            <a:r>
              <a:rPr lang="en-US"/>
              <a:t>R² = '</a:t>
            </a:r>
            <a:r>
              <a:rPr lang="ru-RU"/>
              <a:t>Расчёт'!</a:t>
            </a:r>
            <a:r>
              <a:rPr lang="en-US"/>
              <a:t>B75</a:t>
            </a:r>
          </a:p>
        </c:rich>
      </c:tx>
      <c:overlay val="1"/>
    </c:title>
    <c:autoTitleDeleted val="0"/>
    <c:plotArea>
      <c:layout/>
      <c:lineChart>
        <c:grouping val="standard"/>
        <c:varyColors val="1"/>
        <c:ser>
          <c:idx val="0"/>
          <c:order val="0"/>
          <c:tx>
            <c:strRef>
              <c:f>График!$B$3</c:f>
              <c:strCache>
                <c:ptCount val="1"/>
                <c:pt idx="0">
                  <c:v>T_corr (эксперимент)</c:v>
                </c:pt>
              </c:strCache>
            </c:strRef>
          </c:tx>
          <c:spPr>
            <a:ln>
              <a:prstDash val="solid"/>
            </a:ln>
          </c:spPr>
          <c:marker>
            <c:symbol val="none"/>
          </c:marker>
          <c:cat>
            <c:numRef>
              <c:f>График!$A$4:$A$24</c:f>
              <c:numCache>
                <c:formatCode>General</c:formatCode>
                <c:ptCount val="2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numCache>
            </c:numRef>
          </c:cat>
          <c:val>
            <c:numRef>
              <c:f>График!$B$4:$B$24</c:f>
              <c:numCache>
                <c:formatCode>General</c:formatCode>
                <c:ptCount val="21"/>
                <c:pt idx="0">
                  <c:v>162.5</c:v>
                </c:pt>
                <c:pt idx="1">
                  <c:v>191</c:v>
                </c:pt>
                <c:pt idx="2">
                  <c:v>204.5</c:v>
                </c:pt>
                <c:pt idx="3">
                  <c:v>210.5</c:v>
                </c:pt>
                <c:pt idx="4">
                  <c:v>228</c:v>
                </c:pt>
                <c:pt idx="5">
                  <c:v>235.5</c:v>
                </c:pt>
                <c:pt idx="6">
                  <c:v>244.5</c:v>
                </c:pt>
                <c:pt idx="7">
                  <c:v>250.5</c:v>
                </c:pt>
                <c:pt idx="8">
                  <c:v>257</c:v>
                </c:pt>
                <c:pt idx="9">
                  <c:v>262.5</c:v>
                </c:pt>
                <c:pt idx="10">
                  <c:v>269.5</c:v>
                </c:pt>
                <c:pt idx="11">
                  <c:v>274.5</c:v>
                </c:pt>
                <c:pt idx="12">
                  <c:v>281</c:v>
                </c:pt>
                <c:pt idx="13">
                  <c:v>287.5</c:v>
                </c:pt>
                <c:pt idx="14">
                  <c:v>294.5</c:v>
                </c:pt>
                <c:pt idx="15">
                  <c:v>300.5</c:v>
                </c:pt>
                <c:pt idx="16">
                  <c:v>310</c:v>
                </c:pt>
                <c:pt idx="17">
                  <c:v>318.5</c:v>
                </c:pt>
                <c:pt idx="18">
                  <c:v>330.5</c:v>
                </c:pt>
                <c:pt idx="19">
                  <c:v>346</c:v>
                </c:pt>
                <c:pt idx="20">
                  <c:v>355.5</c:v>
                </c:pt>
              </c:numCache>
            </c:numRef>
          </c:val>
          <c:smooth val="1"/>
          <c:extLst>
            <c:ext xmlns:c16="http://schemas.microsoft.com/office/drawing/2014/chart" uri="{C3380CC4-5D6E-409C-BE32-E72D297353CC}">
              <c16:uniqueId val="{00000000-45C9-4A10-87A8-8E0712EF8AFE}"/>
            </c:ext>
          </c:extLst>
        </c:ser>
        <c:ser>
          <c:idx val="1"/>
          <c:order val="1"/>
          <c:tx>
            <c:strRef>
              <c:f>График!$C$3</c:f>
              <c:strCache>
                <c:ptCount val="1"/>
                <c:pt idx="0">
                  <c:v>T_полином (аппроксимация)</c:v>
                </c:pt>
              </c:strCache>
            </c:strRef>
          </c:tx>
          <c:spPr>
            <a:ln>
              <a:prstDash val="solid"/>
            </a:ln>
          </c:spPr>
          <c:marker>
            <c:symbol val="none"/>
          </c:marker>
          <c:val>
            <c:numRef>
              <c:f>График!$C$4:$C$24</c:f>
              <c:numCache>
                <c:formatCode>General</c:formatCode>
                <c:ptCount val="21"/>
                <c:pt idx="0">
                  <c:v>168.05307735742517</c:v>
                </c:pt>
                <c:pt idx="1">
                  <c:v>185.61885940146809</c:v>
                </c:pt>
                <c:pt idx="2">
                  <c:v>200.90577728907246</c:v>
                </c:pt>
                <c:pt idx="3">
                  <c:v>214.15233736515199</c:v>
                </c:pt>
                <c:pt idx="4">
                  <c:v>225.59704597462033</c:v>
                </c:pt>
                <c:pt idx="5">
                  <c:v>235.47840946239114</c:v>
                </c:pt>
                <c:pt idx="6">
                  <c:v>244.0349341733781</c:v>
                </c:pt>
                <c:pt idx="7">
                  <c:v>251.50512645249486</c:v>
                </c:pt>
                <c:pt idx="8">
                  <c:v>258.12749264465509</c:v>
                </c:pt>
                <c:pt idx="9">
                  <c:v>264.14053909477246</c:v>
                </c:pt>
                <c:pt idx="10">
                  <c:v>269.78277214776068</c:v>
                </c:pt>
                <c:pt idx="11">
                  <c:v>275.29269814853342</c:v>
                </c:pt>
                <c:pt idx="12">
                  <c:v>280.90882344200423</c:v>
                </c:pt>
                <c:pt idx="13">
                  <c:v>286.86965437308686</c:v>
                </c:pt>
                <c:pt idx="14">
                  <c:v>293.41369728669497</c:v>
                </c:pt>
                <c:pt idx="15">
                  <c:v>300.77945852774229</c:v>
                </c:pt>
                <c:pt idx="16">
                  <c:v>309.20544444114239</c:v>
                </c:pt>
                <c:pt idx="17">
                  <c:v>318.93016137180899</c:v>
                </c:pt>
                <c:pt idx="18">
                  <c:v>330.19211566465572</c:v>
                </c:pt>
                <c:pt idx="19">
                  <c:v>343.22981366459624</c:v>
                </c:pt>
                <c:pt idx="20">
                  <c:v>358.28176171654434</c:v>
                </c:pt>
              </c:numCache>
            </c:numRef>
          </c:val>
          <c:smooth val="1"/>
          <c:extLst>
            <c:ext xmlns:c16="http://schemas.microsoft.com/office/drawing/2014/chart" uri="{C3380CC4-5D6E-409C-BE32-E72D297353CC}">
              <c16:uniqueId val="{00000001-45C9-4A10-87A8-8E0712EF8AFE}"/>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ru-RU"/>
                  <a:t>Объём отгона,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1"/>
        <c:axPos val="l"/>
        <c:majorGridlines/>
        <c:title>
          <c:tx>
            <c:rich>
              <a:bodyPr/>
              <a:lstStyle/>
              <a:p>
                <a:pPr>
                  <a:defRPr/>
                </a:pPr>
                <a:r>
                  <a:rPr lang="ru-RU"/>
                  <a:t>Температура, °</a:t>
                </a:r>
                <a:r>
                  <a:rPr lang="en-US"/>
                  <a:t>C</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12"/>
  <c:chart>
    <c:title>
      <c:tx>
        <c:rich>
          <a:bodyPr/>
          <a:lstStyle/>
          <a:p>
            <a:pPr>
              <a:defRPr/>
            </a:pPr>
            <a:r>
              <a:rPr lang="ru-RU"/>
              <a:t>Ветка 2 — </a:t>
            </a:r>
            <a:r>
              <a:rPr lang="en-US"/>
              <a:t>T_</a:t>
            </a:r>
            <a:r>
              <a:rPr lang="ru-RU"/>
              <a:t>НД (из НД, при 760) </a:t>
            </a:r>
            <a:r>
              <a:rPr lang="en-US"/>
              <a:t>vs V</a:t>
            </a:r>
            <a:r>
              <a:rPr lang="ru-RU"/>
              <a:t>ср, </a:t>
            </a:r>
            <a:r>
              <a:rPr lang="en-US"/>
              <a:t>R² = '</a:t>
            </a:r>
            <a:r>
              <a:rPr lang="ru-RU"/>
              <a:t>Расчёт'!</a:t>
            </a:r>
            <a:r>
              <a:rPr lang="en-US"/>
              <a:t>B102</a:t>
            </a:r>
          </a:p>
        </c:rich>
      </c:tx>
      <c:overlay val="1"/>
    </c:title>
    <c:autoTitleDeleted val="0"/>
    <c:plotArea>
      <c:layout/>
      <c:lineChart>
        <c:grouping val="standard"/>
        <c:varyColors val="1"/>
        <c:ser>
          <c:idx val="0"/>
          <c:order val="0"/>
          <c:tx>
            <c:strRef>
              <c:f>График!$F$3</c:f>
              <c:strCache>
                <c:ptCount val="1"/>
                <c:pt idx="0">
                  <c:v>T_НД, °C (из НД, при 760)</c:v>
                </c:pt>
              </c:strCache>
            </c:strRef>
          </c:tx>
          <c:spPr>
            <a:ln>
              <a:prstDash val="solid"/>
            </a:ln>
          </c:spPr>
          <c:marker>
            <c:symbol val="none"/>
          </c:marker>
          <c:cat>
            <c:strRef>
              <c:f>График!$E$4:$E$24</c:f>
              <c:strCache>
                <c:ptCount val="5"/>
                <c:pt idx="0">
                  <c:v>4,5</c:v>
                </c:pt>
                <c:pt idx="1">
                  <c:v>6,5</c:v>
                </c:pt>
                <c:pt idx="2">
                  <c:v>9,5</c:v>
                </c:pt>
                <c:pt idx="3">
                  <c:v>13,5</c:v>
                </c:pt>
                <c:pt idx="4">
                  <c:v>17,5</c:v>
                </c:pt>
              </c:strCache>
            </c:strRef>
          </c:cat>
          <c:val>
            <c:numRef>
              <c:f>График!$F$4:$F$24</c:f>
              <c:numCache>
                <c:formatCode>General</c:formatCode>
                <c:ptCount val="21"/>
                <c:pt idx="0">
                  <c:v>150</c:v>
                </c:pt>
                <c:pt idx="1">
                  <c:v>200</c:v>
                </c:pt>
                <c:pt idx="2">
                  <c:v>250</c:v>
                </c:pt>
                <c:pt idx="3">
                  <c:v>300</c:v>
                </c:pt>
                <c:pt idx="4">
                  <c:v>350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1"/>
          <c:extLst>
            <c:ext xmlns:c16="http://schemas.microsoft.com/office/drawing/2014/chart" uri="{C3380CC4-5D6E-409C-BE32-E72D297353CC}">
              <c16:uniqueId val="{00000000-0402-47C5-9160-228A58B061F6}"/>
            </c:ext>
          </c:extLst>
        </c:ser>
        <c:ser>
          <c:idx val="1"/>
          <c:order val="1"/>
          <c:tx>
            <c:strRef>
              <c:f>График!$G$3</c:f>
              <c:strCache>
                <c:ptCount val="1"/>
                <c:pt idx="0">
                  <c:v>T_полином Ветки 2 (аппроксимация)</c:v>
                </c:pt>
              </c:strCache>
            </c:strRef>
          </c:tx>
          <c:spPr>
            <a:ln>
              <a:prstDash val="solid"/>
            </a:ln>
          </c:spPr>
          <c:marker>
            <c:symbol val="none"/>
          </c:marker>
          <c:val>
            <c:numRef>
              <c:f>График!$G$4:$G$24</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1"/>
          <c:extLst>
            <c:ext xmlns:c16="http://schemas.microsoft.com/office/drawing/2014/chart" uri="{C3380CC4-5D6E-409C-BE32-E72D297353CC}">
              <c16:uniqueId val="{00000001-0402-47C5-9160-228A58B061F6}"/>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V</a:t>
                </a:r>
                <a:r>
                  <a:rPr lang="ru-RU"/>
                  <a:t>ср, % (по двум параллелям)</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ru-RU"/>
                  <a:t>Температура, °</a:t>
                </a:r>
                <a:r>
                  <a:rPr lang="en-US"/>
                  <a:t>C (T_</a:t>
                </a:r>
                <a:r>
                  <a:rPr lang="ru-RU"/>
                  <a:t>НД, при 760)</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27</xdr:row>
      <xdr:rowOff>0</xdr:rowOff>
    </xdr:from>
    <xdr:ext cx="5400000" cy="270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51</xdr:row>
      <xdr:rowOff>0</xdr:rowOff>
    </xdr:from>
    <xdr:ext cx="5400000" cy="270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defaultRowHeight="15" x14ac:dyDescent="0.25"/>
  <cols>
    <col min="1" max="1" width="34" customWidth="1"/>
    <col min="2" max="2" width="70"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spans="1:2" x14ac:dyDescent="0.25">
      <c r="A7" s="1" t="s">
        <v>12</v>
      </c>
      <c r="B7" s="2" t="s">
        <v>13</v>
      </c>
    </row>
    <row r="8" spans="1:2" x14ac:dyDescent="0.25">
      <c r="A8" s="1" t="s">
        <v>14</v>
      </c>
      <c r="B8" s="2"/>
    </row>
    <row r="9" spans="1:2" x14ac:dyDescent="0.25">
      <c r="A9" s="1" t="s">
        <v>15</v>
      </c>
      <c r="B9" s="2"/>
    </row>
    <row r="10" spans="1:2" x14ac:dyDescent="0.25">
      <c r="A10" s="1" t="s">
        <v>16</v>
      </c>
      <c r="B10" s="2" t="s">
        <v>17</v>
      </c>
    </row>
    <row r="11" spans="1:2" x14ac:dyDescent="0.25">
      <c r="A11" s="3" t="s">
        <v>18</v>
      </c>
      <c r="B11" s="4" t="s">
        <v>19</v>
      </c>
    </row>
    <row r="12" spans="1:2" x14ac:dyDescent="0.25">
      <c r="A12" s="3" t="s">
        <v>20</v>
      </c>
      <c r="B12" s="4" t="s">
        <v>21</v>
      </c>
    </row>
    <row r="13" spans="1:2" x14ac:dyDescent="0.25">
      <c r="A13" s="3" t="s">
        <v>22</v>
      </c>
      <c r="B13" s="4"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
  <sheetViews>
    <sheetView workbookViewId="0"/>
  </sheetViews>
  <sheetFormatPr defaultRowHeight="15" x14ac:dyDescent="0.25"/>
  <cols>
    <col min="1" max="1" width="6" customWidth="1"/>
    <col min="2" max="3" width="12" customWidth="1"/>
    <col min="4" max="4" width="14" customWidth="1"/>
  </cols>
  <sheetData>
    <row r="1" spans="1:7" x14ac:dyDescent="0.25">
      <c r="A1" s="1" t="s">
        <v>24</v>
      </c>
      <c r="B1" s="5">
        <v>755</v>
      </c>
      <c r="C1" s="1" t="s">
        <v>25</v>
      </c>
      <c r="D1" s="5">
        <v>4</v>
      </c>
      <c r="F1" s="1" t="s">
        <v>26</v>
      </c>
      <c r="G1" s="5">
        <v>100</v>
      </c>
    </row>
    <row r="3" spans="1:7" x14ac:dyDescent="0.25">
      <c r="A3" s="1" t="s">
        <v>27</v>
      </c>
      <c r="B3" s="1" t="s">
        <v>28</v>
      </c>
      <c r="C3" s="1" t="s">
        <v>29</v>
      </c>
      <c r="D3" s="1" t="s">
        <v>30</v>
      </c>
      <c r="E3" s="1" t="s">
        <v>31</v>
      </c>
      <c r="F3" s="1" t="s">
        <v>32</v>
      </c>
      <c r="G3" s="1" t="s">
        <v>33</v>
      </c>
    </row>
    <row r="4" spans="1:7" x14ac:dyDescent="0.25">
      <c r="A4" s="6">
        <f>IF(ISNUMBER(B4),ROUND(B4/$G$1*100,1),"НК")</f>
        <v>0</v>
      </c>
      <c r="B4" s="5">
        <v>0</v>
      </c>
      <c r="C4" s="5">
        <v>161.75</v>
      </c>
      <c r="D4" s="5">
        <v>161.75</v>
      </c>
    </row>
    <row r="5" spans="1:7" x14ac:dyDescent="0.25">
      <c r="A5" s="6">
        <f>IF(ISNUMBER(B5),ROUND(B5/$G$1*100,1),"5")</f>
        <v>5</v>
      </c>
      <c r="B5" s="5">
        <v>5</v>
      </c>
      <c r="C5" s="5">
        <v>190.5</v>
      </c>
      <c r="D5" s="5">
        <v>190.5</v>
      </c>
    </row>
    <row r="6" spans="1:7" x14ac:dyDescent="0.25">
      <c r="A6" s="6">
        <f>IF(ISNUMBER(B6),ROUND(B6/$G$1*100,1),"10")</f>
        <v>10</v>
      </c>
      <c r="B6" s="5">
        <v>10</v>
      </c>
      <c r="C6" s="5">
        <v>203.75</v>
      </c>
      <c r="D6" s="5">
        <v>203.75</v>
      </c>
    </row>
    <row r="7" spans="1:7" x14ac:dyDescent="0.25">
      <c r="A7" s="6">
        <f>IF(ISNUMBER(B7),ROUND(B7/$G$1*100,1),"15")</f>
        <v>15</v>
      </c>
      <c r="B7" s="5">
        <v>15</v>
      </c>
      <c r="C7" s="5">
        <v>210</v>
      </c>
      <c r="D7" s="5">
        <v>210</v>
      </c>
    </row>
    <row r="8" spans="1:7" x14ac:dyDescent="0.25">
      <c r="A8" s="6">
        <f>IF(ISNUMBER(B8),ROUND(B8/$G$1*100,1),"20")</f>
        <v>20</v>
      </c>
      <c r="B8" s="5">
        <v>20</v>
      </c>
      <c r="C8" s="5">
        <v>227.5</v>
      </c>
      <c r="D8" s="5">
        <v>227.5</v>
      </c>
    </row>
    <row r="9" spans="1:7" x14ac:dyDescent="0.25">
      <c r="A9" s="6">
        <f>IF(ISNUMBER(B9),ROUND(B9/$G$1*100,1),"25")</f>
        <v>25</v>
      </c>
      <c r="B9" s="5">
        <v>25</v>
      </c>
      <c r="C9" s="5">
        <v>235</v>
      </c>
      <c r="D9" s="5">
        <v>235</v>
      </c>
    </row>
    <row r="10" spans="1:7" x14ac:dyDescent="0.25">
      <c r="A10" s="6">
        <f>IF(ISNUMBER(B10),ROUND(B10/$G$1*100,1),"30")</f>
        <v>30</v>
      </c>
      <c r="B10" s="5">
        <v>30</v>
      </c>
      <c r="C10" s="5">
        <v>244</v>
      </c>
      <c r="D10" s="5">
        <v>244</v>
      </c>
    </row>
    <row r="11" spans="1:7" x14ac:dyDescent="0.25">
      <c r="A11" s="6">
        <f>IF(ISNUMBER(B11),ROUND(B11/$G$1*100,1),"35")</f>
        <v>35</v>
      </c>
      <c r="B11" s="5">
        <v>35</v>
      </c>
      <c r="C11" s="5">
        <v>250</v>
      </c>
      <c r="D11" s="5">
        <v>250</v>
      </c>
    </row>
    <row r="12" spans="1:7" x14ac:dyDescent="0.25">
      <c r="A12" s="6">
        <f>IF(ISNUMBER(B12),ROUND(B12/$G$1*100,1),"40")</f>
        <v>40</v>
      </c>
      <c r="B12" s="5">
        <v>40</v>
      </c>
      <c r="C12" s="5">
        <v>256.5</v>
      </c>
      <c r="D12" s="5">
        <v>256.5</v>
      </c>
    </row>
    <row r="13" spans="1:7" x14ac:dyDescent="0.25">
      <c r="A13" s="6">
        <f>IF(ISNUMBER(B13),ROUND(B13/$G$1*100,1),"45")</f>
        <v>45</v>
      </c>
      <c r="B13" s="5">
        <v>45</v>
      </c>
      <c r="C13" s="5">
        <v>262</v>
      </c>
      <c r="D13" s="5">
        <v>262</v>
      </c>
    </row>
    <row r="14" spans="1:7" x14ac:dyDescent="0.25">
      <c r="A14" s="6">
        <f>IF(ISNUMBER(B14),ROUND(B14/$G$1*100,1),"50")</f>
        <v>50</v>
      </c>
      <c r="B14" s="5">
        <v>50</v>
      </c>
      <c r="C14" s="5">
        <v>268.75</v>
      </c>
      <c r="D14" s="5">
        <v>268.75</v>
      </c>
    </row>
    <row r="15" spans="1:7" x14ac:dyDescent="0.25">
      <c r="A15" s="6">
        <f>IF(ISNUMBER(B15),ROUND(B15/$G$1*100,1),"55")</f>
        <v>55</v>
      </c>
      <c r="B15" s="5">
        <v>55</v>
      </c>
      <c r="C15" s="5">
        <v>274</v>
      </c>
      <c r="D15" s="5">
        <v>274</v>
      </c>
    </row>
    <row r="16" spans="1:7" x14ac:dyDescent="0.25">
      <c r="A16" s="6">
        <f>IF(ISNUMBER(B16),ROUND(B16/$G$1*100,1),"60")</f>
        <v>60</v>
      </c>
      <c r="B16" s="5">
        <v>60</v>
      </c>
      <c r="C16" s="5">
        <v>280.5</v>
      </c>
      <c r="D16" s="5">
        <v>280.5</v>
      </c>
    </row>
    <row r="17" spans="1:7" x14ac:dyDescent="0.25">
      <c r="A17" s="6">
        <f>IF(ISNUMBER(B17),ROUND(B17/$G$1*100,1),"65")</f>
        <v>65</v>
      </c>
      <c r="B17" s="5">
        <v>65</v>
      </c>
      <c r="C17" s="5">
        <v>287</v>
      </c>
      <c r="D17" s="5">
        <v>287</v>
      </c>
    </row>
    <row r="18" spans="1:7" x14ac:dyDescent="0.25">
      <c r="A18" s="6">
        <f>IF(ISNUMBER(B18),ROUND(B18/$G$1*100,1),"70")</f>
        <v>70</v>
      </c>
      <c r="B18" s="5">
        <v>70</v>
      </c>
      <c r="C18" s="5">
        <v>293.75</v>
      </c>
      <c r="D18" s="5">
        <v>293.75</v>
      </c>
    </row>
    <row r="19" spans="1:7" x14ac:dyDescent="0.25">
      <c r="A19" s="6">
        <f>IF(ISNUMBER(B19),ROUND(B19/$G$1*100,1),"75")</f>
        <v>75</v>
      </c>
      <c r="B19" s="5">
        <v>75</v>
      </c>
      <c r="C19" s="5">
        <v>300</v>
      </c>
      <c r="D19" s="5">
        <v>300</v>
      </c>
    </row>
    <row r="20" spans="1:7" x14ac:dyDescent="0.25">
      <c r="A20" s="6">
        <f>IF(ISNUMBER(B20),ROUND(B20/$G$1*100,1),"80")</f>
        <v>80</v>
      </c>
      <c r="B20" s="5">
        <v>80</v>
      </c>
      <c r="C20" s="5">
        <v>309.25</v>
      </c>
      <c r="D20" s="5">
        <v>309.25</v>
      </c>
    </row>
    <row r="21" spans="1:7" x14ac:dyDescent="0.25">
      <c r="A21" s="6">
        <f>IF(ISNUMBER(B21),ROUND(B21/$G$1*100,1),"85")</f>
        <v>85</v>
      </c>
      <c r="B21" s="5">
        <v>85</v>
      </c>
      <c r="C21" s="5">
        <v>318</v>
      </c>
      <c r="D21" s="5">
        <v>318</v>
      </c>
    </row>
    <row r="22" spans="1:7" x14ac:dyDescent="0.25">
      <c r="A22" s="6">
        <f>IF(ISNUMBER(B22),ROUND(B22/$G$1*100,1),"90")</f>
        <v>90</v>
      </c>
      <c r="B22" s="5">
        <v>90</v>
      </c>
      <c r="C22" s="5">
        <v>329.75</v>
      </c>
      <c r="D22" s="5">
        <v>329.75</v>
      </c>
    </row>
    <row r="23" spans="1:7" x14ac:dyDescent="0.25">
      <c r="A23" s="6">
        <f>IF(ISNUMBER(B23),ROUND(B23/$G$1*100,1),"95")</f>
        <v>95</v>
      </c>
      <c r="B23" s="5">
        <v>95</v>
      </c>
      <c r="C23" s="5">
        <v>345.25</v>
      </c>
      <c r="D23" s="5">
        <v>345.25</v>
      </c>
    </row>
    <row r="24" spans="1:7" x14ac:dyDescent="0.25">
      <c r="A24" s="6">
        <f>IF(ISNUMBER(B24),ROUND(B24/$G$1*100,1),"КК")</f>
        <v>100</v>
      </c>
      <c r="B24" s="5">
        <v>100</v>
      </c>
      <c r="C24" s="5">
        <v>355</v>
      </c>
      <c r="D24" s="5">
        <v>355</v>
      </c>
    </row>
    <row r="25" spans="1:7" x14ac:dyDescent="0.25">
      <c r="E25" s="5">
        <v>0.5</v>
      </c>
      <c r="F25" s="5">
        <v>1.5</v>
      </c>
      <c r="G25" s="6">
        <f>100-E25-F25</f>
        <v>98</v>
      </c>
    </row>
    <row r="26" spans="1:7" x14ac:dyDescent="0.25">
      <c r="A26" s="3" t="s">
        <v>34</v>
      </c>
    </row>
    <row r="28" spans="1:7" x14ac:dyDescent="0.25">
      <c r="A28" s="7" t="s">
        <v>35</v>
      </c>
      <c r="B28" s="6" t="str">
        <f t="shared" ref="B28:B40" si="0">IF(OR(ISBLANK(C4),ISBLANK(C5)),"",IF(C5&gt;=B4,"OK","НАРУШЕНА"))</f>
        <v>OK</v>
      </c>
    </row>
    <row r="29" spans="1:7" x14ac:dyDescent="0.25">
      <c r="A29" s="7" t="s">
        <v>36</v>
      </c>
      <c r="B29" s="6" t="str">
        <f t="shared" si="0"/>
        <v>OK</v>
      </c>
    </row>
    <row r="30" spans="1:7" x14ac:dyDescent="0.25">
      <c r="A30" s="7" t="s">
        <v>37</v>
      </c>
      <c r="B30" s="6" t="str">
        <f t="shared" si="0"/>
        <v>OK</v>
      </c>
    </row>
    <row r="31" spans="1:7" x14ac:dyDescent="0.25">
      <c r="A31" s="7" t="s">
        <v>38</v>
      </c>
      <c r="B31" s="6" t="str">
        <f t="shared" si="0"/>
        <v>OK</v>
      </c>
    </row>
    <row r="32" spans="1:7" x14ac:dyDescent="0.25">
      <c r="A32" s="7" t="s">
        <v>39</v>
      </c>
      <c r="B32" s="6" t="str">
        <f t="shared" si="0"/>
        <v>OK</v>
      </c>
    </row>
    <row r="33" spans="1:2" x14ac:dyDescent="0.25">
      <c r="A33" s="7" t="s">
        <v>40</v>
      </c>
      <c r="B33" s="6" t="str">
        <f t="shared" si="0"/>
        <v>OK</v>
      </c>
    </row>
    <row r="34" spans="1:2" x14ac:dyDescent="0.25">
      <c r="A34" s="7" t="s">
        <v>41</v>
      </c>
      <c r="B34" s="6" t="str">
        <f t="shared" si="0"/>
        <v>OK</v>
      </c>
    </row>
    <row r="35" spans="1:2" x14ac:dyDescent="0.25">
      <c r="A35" s="7" t="s">
        <v>42</v>
      </c>
      <c r="B35" s="6" t="str">
        <f t="shared" si="0"/>
        <v>OK</v>
      </c>
    </row>
    <row r="36" spans="1:2" x14ac:dyDescent="0.25">
      <c r="A36" s="7" t="s">
        <v>43</v>
      </c>
      <c r="B36" s="6" t="str">
        <f t="shared" si="0"/>
        <v>OK</v>
      </c>
    </row>
    <row r="37" spans="1:2" x14ac:dyDescent="0.25">
      <c r="A37" s="7" t="s">
        <v>44</v>
      </c>
      <c r="B37" s="6" t="str">
        <f t="shared" si="0"/>
        <v>OK</v>
      </c>
    </row>
    <row r="38" spans="1:2" x14ac:dyDescent="0.25">
      <c r="A38" s="7" t="s">
        <v>45</v>
      </c>
      <c r="B38" s="6" t="str">
        <f t="shared" si="0"/>
        <v>OK</v>
      </c>
    </row>
    <row r="39" spans="1:2" x14ac:dyDescent="0.25">
      <c r="A39" s="7" t="s">
        <v>46</v>
      </c>
      <c r="B39" s="6" t="str">
        <f t="shared" si="0"/>
        <v>OK</v>
      </c>
    </row>
    <row r="40" spans="1:2" x14ac:dyDescent="0.25">
      <c r="A40" s="7" t="s">
        <v>47</v>
      </c>
      <c r="B40" s="6" t="str">
        <f t="shared" si="0"/>
        <v>OK</v>
      </c>
    </row>
    <row r="41" spans="1:2" x14ac:dyDescent="0.25">
      <c r="A41" s="7" t="s">
        <v>48</v>
      </c>
      <c r="B41" s="6" t="str">
        <f>IF(ABS(A24+E25+F25-100)&lt;0.2,"OK","НАРУШЕН")</f>
        <v>НАРУШЕН</v>
      </c>
    </row>
    <row r="42" spans="1:2" x14ac:dyDescent="0.25">
      <c r="A42" s="7" t="s">
        <v>49</v>
      </c>
      <c r="B42" s="6" t="str">
        <f t="shared" ref="B42:B47" si="1">IF(OR(ISBLANK(C18),ISBLANK(C19)),"",IF(C19&gt;=B18,"OK","НАРУШЕНА"))</f>
        <v>OK</v>
      </c>
    </row>
    <row r="43" spans="1:2" x14ac:dyDescent="0.25">
      <c r="A43" s="7" t="s">
        <v>50</v>
      </c>
      <c r="B43" s="6" t="str">
        <f t="shared" si="1"/>
        <v>OK</v>
      </c>
    </row>
    <row r="44" spans="1:2" x14ac:dyDescent="0.25">
      <c r="A44" s="7" t="s">
        <v>51</v>
      </c>
      <c r="B44" s="6" t="str">
        <f t="shared" si="1"/>
        <v>OK</v>
      </c>
    </row>
    <row r="45" spans="1:2" x14ac:dyDescent="0.25">
      <c r="A45" s="7" t="s">
        <v>52</v>
      </c>
      <c r="B45" s="6" t="str">
        <f t="shared" si="1"/>
        <v>OK</v>
      </c>
    </row>
    <row r="46" spans="1:2" x14ac:dyDescent="0.25">
      <c r="A46" s="7" t="s">
        <v>53</v>
      </c>
      <c r="B46" s="6" t="str">
        <f t="shared" si="1"/>
        <v>OK</v>
      </c>
    </row>
    <row r="47" spans="1:2" x14ac:dyDescent="0.25">
      <c r="A47" s="7" t="s">
        <v>54</v>
      </c>
      <c r="B47" s="6" t="str">
        <f t="shared" si="1"/>
        <v>OK</v>
      </c>
    </row>
  </sheetData>
  <dataValidations count="3">
    <dataValidation type="whole" showErrorMessage="1" errorTitle="Ошибка ввода" error="Давление вне диапазона 500-850 мм рт.ст." sqref="B1" xr:uid="{00000000-0002-0000-0100-000000000000}">
      <formula1>500</formula1>
      <formula2>850</formula2>
    </dataValidation>
    <dataValidation type="decimal" allowBlank="1" showErrorMessage="1" error="Температура вне диапазона 0-500°C" sqref="C4 C5 C6 C7 C8 C9 C10 C11 C12 C13 C14 C15 C16 C17 C18 C19 C20 C21 C22 C23 C24 D4 D5 D6 D7 D8 D9 D10 D11 D12 D13 D14 D15 D16 D17 D18 D19 D20 D21 D22 D23 D24" xr:uid="{00000000-0002-0000-0100-000001000000}">
      <formula1>0</formula1>
      <formula2>500</formula2>
    </dataValidation>
    <dataValidation type="decimal" allowBlank="1" showErrorMessage="1" error="Потери вне диапазона 0.0-5.0%" sqref="E25 F25" xr:uid="{00000000-0002-0000-0100-000002000000}">
      <formula1>0</formula1>
      <formula2>5</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4"/>
  <sheetViews>
    <sheetView topLeftCell="A65" workbookViewId="0">
      <selection activeCell="B83" sqref="B83"/>
    </sheetView>
  </sheetViews>
  <sheetFormatPr defaultRowHeight="15" x14ac:dyDescent="0.25"/>
  <sheetData>
    <row r="1" spans="1:17" x14ac:dyDescent="0.25">
      <c r="A1" s="1" t="s">
        <v>27</v>
      </c>
      <c r="B1" s="1" t="s">
        <v>55</v>
      </c>
      <c r="C1" s="1" t="s">
        <v>56</v>
      </c>
      <c r="D1" s="1" t="s">
        <v>57</v>
      </c>
      <c r="E1" s="1" t="s">
        <v>58</v>
      </c>
      <c r="F1" s="1" t="s">
        <v>59</v>
      </c>
      <c r="G1" s="1" t="s">
        <v>60</v>
      </c>
      <c r="H1" s="1" t="s">
        <v>61</v>
      </c>
      <c r="I1" s="1" t="s">
        <v>62</v>
      </c>
      <c r="J1" s="1" t="s">
        <v>63</v>
      </c>
      <c r="K1" s="1" t="s">
        <v>64</v>
      </c>
      <c r="L1" s="1" t="s">
        <v>65</v>
      </c>
      <c r="M1" s="1" t="s">
        <v>66</v>
      </c>
      <c r="N1" s="1" t="s">
        <v>67</v>
      </c>
      <c r="O1" s="1" t="s">
        <v>68</v>
      </c>
      <c r="Q1" s="10" t="s">
        <v>69</v>
      </c>
    </row>
    <row r="2" spans="1:17" x14ac:dyDescent="0.25">
      <c r="A2" s="2">
        <v>0</v>
      </c>
      <c r="B2" s="6">
        <f>Ввод!C4</f>
        <v>161.75</v>
      </c>
      <c r="C2" s="6">
        <f>Ввод!D4</f>
        <v>161.75</v>
      </c>
      <c r="D2" s="6">
        <f t="shared" ref="D2:D22" si="0">IF(OR(ISBLANK(B2),ISBLANK(C2)),B2,MROUND((B2+C2)/2,0.5))</f>
        <v>162</v>
      </c>
      <c r="E2" s="6">
        <f>0.00012*(760-Ввод!$B$1)*(273+D2)</f>
        <v>0.26100000000000001</v>
      </c>
      <c r="F2" s="6">
        <f t="shared" ref="F2:F22" si="1">IF(ISBLANK(D2),"",MROUND(D2+E2,0.5))</f>
        <v>162.5</v>
      </c>
      <c r="G2" s="8">
        <f>IF(Ввод!$B$1&gt;760,Ввод!E25,0.5+(Ввод!E25-0.5)/(1+(760-Ввод!$B$1)/60))</f>
        <v>0.5</v>
      </c>
      <c r="H2" s="6">
        <f t="shared" ref="H2:H22" si="2">IF(OR(ISBLANK(B2),ISBLANK(C2)),"",ABS(B2-C2))</f>
        <v>0</v>
      </c>
      <c r="I2" s="6">
        <f>IF(Ввод!$D$1=1,3.3,0.35*M2+1)</f>
        <v>2.9950000000000001</v>
      </c>
      <c r="J2" s="6">
        <f>IF(Ввод!$D$1=1,5.6,0.93*M2+2.8)</f>
        <v>8.1009999999999991</v>
      </c>
      <c r="K2" s="6">
        <f t="shared" ref="K2:K22" si="3">(1/SQRT(2))*SQRT(J2^2-I2^2/2)</f>
        <v>5.5290681176849308</v>
      </c>
      <c r="L2" s="6">
        <f t="shared" ref="L2:L22" si="4">0.84*J2</f>
        <v>6.8048399999999987</v>
      </c>
      <c r="M2" s="6">
        <f>IF(OR(ISBLANK(F2),ISBLANK(F3)),"",ABS(F3-F2)/5)</f>
        <v>5.7</v>
      </c>
      <c r="N2" s="6" t="str">
        <f t="shared" ref="N2:N22" si="5">IF(OR(ISBLANK(B2),ISBLANK(C2)),"НЕ РАССЧИТАНО",IF(AND(ISNUMBER(H2),ISNUMBER(I2)),IF(H2&lt;=I2,"OK","НЕ СООТВЕТСТВУЕТ"),"НЕ РАССЧИТАНО"))</f>
        <v>OK</v>
      </c>
      <c r="O2" s="6">
        <f>IF(ISNUMBER(A2),IF(Ввод!$D$1=1,ROUND(A2+G2,1),A2),"")</f>
        <v>0</v>
      </c>
    </row>
    <row r="3" spans="1:17" x14ac:dyDescent="0.25">
      <c r="A3" s="2">
        <v>5</v>
      </c>
      <c r="B3" s="6">
        <f>Ввод!C5</f>
        <v>190.5</v>
      </c>
      <c r="C3" s="6">
        <f>Ввод!D5</f>
        <v>190.5</v>
      </c>
      <c r="D3" s="6">
        <f t="shared" si="0"/>
        <v>190.5</v>
      </c>
      <c r="E3" s="6">
        <f>0.00012*(760-Ввод!$B$1)*(273+D3)</f>
        <v>0.27810000000000001</v>
      </c>
      <c r="F3" s="6">
        <f t="shared" si="1"/>
        <v>191</v>
      </c>
      <c r="G3" s="6">
        <f>IF(Ввод!$B$1&gt;760,Ввод!E25,0.5+(Ввод!E25-0.5)/(1+(760-Ввод!$B$1)/60))</f>
        <v>0.5</v>
      </c>
      <c r="H3" s="6">
        <f t="shared" si="2"/>
        <v>0</v>
      </c>
      <c r="I3" s="6">
        <f>IF(Ввод!$D$1=1,1.9+0.86*M3,1+0.41*M3)</f>
        <v>2.722</v>
      </c>
      <c r="J3" s="6">
        <f>IF(Ввод!$D$1=1,3.1+1.74*M3,1.8+1.33*M3)</f>
        <v>7.3860000000000001</v>
      </c>
      <c r="K3" s="6">
        <f t="shared" si="3"/>
        <v>5.0422392842862971</v>
      </c>
      <c r="L3" s="6">
        <f t="shared" si="4"/>
        <v>6.2042399999999995</v>
      </c>
      <c r="M3" s="6">
        <f t="shared" ref="M3:M20" si="6">IF(OR(ISBLANK(F2),ISBLANK(F4)),"",ABS(F4-F2)/(A4-A2))</f>
        <v>4.2</v>
      </c>
      <c r="N3" s="6" t="str">
        <f t="shared" si="5"/>
        <v>OK</v>
      </c>
      <c r="O3" s="6">
        <f>IF(ISNUMBER(A3),IF(Ввод!$D$1=1,ROUND(A3+G3,1),A3),"")</f>
        <v>5</v>
      </c>
    </row>
    <row r="4" spans="1:17" x14ac:dyDescent="0.25">
      <c r="A4" s="2">
        <v>10</v>
      </c>
      <c r="B4" s="6">
        <f>Ввод!C6</f>
        <v>203.75</v>
      </c>
      <c r="C4" s="6">
        <f>Ввод!D6</f>
        <v>203.75</v>
      </c>
      <c r="D4" s="6">
        <f t="shared" si="0"/>
        <v>204</v>
      </c>
      <c r="E4" s="6">
        <f>0.00012*(760-Ввод!$B$1)*(273+D4)</f>
        <v>0.28620000000000001</v>
      </c>
      <c r="F4" s="6">
        <f t="shared" si="1"/>
        <v>204.5</v>
      </c>
      <c r="G4" s="6">
        <f>IF(Ввод!$B$1&gt;760,Ввод!E25,0.5+(Ввод!E25-0.5)/(1+(760-Ввод!$B$1)/60))</f>
        <v>0.5</v>
      </c>
      <c r="H4" s="6">
        <f t="shared" si="2"/>
        <v>0</v>
      </c>
      <c r="I4" s="6">
        <f>IF(Ввод!$D$1=1,1.2+0.86*M4,1+0.41*M4)</f>
        <v>1.7995000000000001</v>
      </c>
      <c r="J4" s="6">
        <f>IF(Ввод!$D$1=1,2+1.74*M4,1.8+1.33*M4)</f>
        <v>4.3935000000000004</v>
      </c>
      <c r="K4" s="6">
        <f t="shared" si="3"/>
        <v>2.9735283860255985</v>
      </c>
      <c r="L4" s="6">
        <f t="shared" si="4"/>
        <v>3.6905400000000004</v>
      </c>
      <c r="M4" s="6">
        <f t="shared" si="6"/>
        <v>1.95</v>
      </c>
      <c r="N4" s="6" t="str">
        <f t="shared" si="5"/>
        <v>OK</v>
      </c>
      <c r="O4" s="6">
        <f>IF(ISNUMBER(A4),IF(Ввод!$D$1=1,ROUND(A4+G4,1),A4),"")</f>
        <v>10</v>
      </c>
    </row>
    <row r="5" spans="1:17" x14ac:dyDescent="0.25">
      <c r="A5" s="2">
        <v>15</v>
      </c>
      <c r="B5" s="6">
        <f>Ввод!C7</f>
        <v>210</v>
      </c>
      <c r="C5" s="6">
        <f>Ввод!D7</f>
        <v>210</v>
      </c>
      <c r="D5" s="6">
        <f t="shared" si="0"/>
        <v>210</v>
      </c>
      <c r="E5" s="6">
        <f>0.00012*(760-Ввод!$B$1)*(273+D5)</f>
        <v>0.2898</v>
      </c>
      <c r="F5" s="6">
        <f t="shared" si="1"/>
        <v>210.5</v>
      </c>
      <c r="G5" s="6">
        <f>IF(Ввод!$B$1&gt;760,Ввод!E25,0.5+(Ввод!E25-0.5)/(1+(760-Ввод!$B$1)/60))</f>
        <v>0.5</v>
      </c>
      <c r="H5" s="6">
        <f t="shared" si="2"/>
        <v>0</v>
      </c>
      <c r="I5" s="6">
        <f>IF(Ввод!$D$1=1,1.2+0.86*M5,1+0.41*M5)</f>
        <v>1.9635</v>
      </c>
      <c r="J5" s="6">
        <f>IF(Ввод!$D$1=1,2+1.74*M5,1.8+1.33*M5)</f>
        <v>4.9255000000000004</v>
      </c>
      <c r="K5" s="6">
        <f t="shared" si="3"/>
        <v>3.3416226690786019</v>
      </c>
      <c r="L5" s="6">
        <f t="shared" si="4"/>
        <v>4.1374200000000005</v>
      </c>
      <c r="M5" s="6">
        <f t="shared" si="6"/>
        <v>2.35</v>
      </c>
      <c r="N5" s="6" t="str">
        <f t="shared" si="5"/>
        <v>OK</v>
      </c>
      <c r="O5" s="6">
        <f>IF(ISNUMBER(A5),IF(Ввод!$D$1=1,ROUND(A5+G5,1),A5),"")</f>
        <v>15</v>
      </c>
    </row>
    <row r="6" spans="1:17" x14ac:dyDescent="0.25">
      <c r="A6" s="2">
        <v>20</v>
      </c>
      <c r="B6" s="6">
        <f>Ввод!C8</f>
        <v>227.5</v>
      </c>
      <c r="C6" s="6">
        <f>Ввод!D8</f>
        <v>227.5</v>
      </c>
      <c r="D6" s="6">
        <f t="shared" si="0"/>
        <v>227.5</v>
      </c>
      <c r="E6" s="6">
        <f>0.00012*(760-Ввод!$B$1)*(273+D6)</f>
        <v>0.30030000000000001</v>
      </c>
      <c r="F6" s="6">
        <f t="shared" si="1"/>
        <v>228</v>
      </c>
      <c r="G6" s="6">
        <f>IF(Ввод!$B$1&gt;760,Ввод!E25,0.5+(Ввод!E25-0.5)/(1+(760-Ввод!$B$1)/60))</f>
        <v>0.5</v>
      </c>
      <c r="H6" s="6">
        <f t="shared" si="2"/>
        <v>0</v>
      </c>
      <c r="I6" s="6">
        <f>IF(Ввод!$D$1=1,1.2+0.86*M6,1+0.41*M6)</f>
        <v>2.0249999999999999</v>
      </c>
      <c r="J6" s="6">
        <f>IF(Ввод!$D$1=1,2+1.74*M6,1.8+1.33*M6)</f>
        <v>5.125</v>
      </c>
      <c r="K6" s="6">
        <f t="shared" si="3"/>
        <v>3.4796057607148541</v>
      </c>
      <c r="L6" s="6">
        <f t="shared" si="4"/>
        <v>4.3049999999999997</v>
      </c>
      <c r="M6" s="6">
        <f t="shared" si="6"/>
        <v>2.5</v>
      </c>
      <c r="N6" s="6" t="str">
        <f t="shared" si="5"/>
        <v>OK</v>
      </c>
      <c r="O6" s="6">
        <f>IF(ISNUMBER(A6),IF(Ввод!$D$1=1,ROUND(A6+G6,1),A6),"")</f>
        <v>20</v>
      </c>
    </row>
    <row r="7" spans="1:17" x14ac:dyDescent="0.25">
      <c r="A7" s="2">
        <v>25</v>
      </c>
      <c r="B7" s="6">
        <f>Ввод!C9</f>
        <v>235</v>
      </c>
      <c r="C7" s="6">
        <f>Ввод!D9</f>
        <v>235</v>
      </c>
      <c r="D7" s="6">
        <f t="shared" si="0"/>
        <v>235</v>
      </c>
      <c r="E7" s="6">
        <f>0.00012*(760-Ввод!$B$1)*(273+D7)</f>
        <v>0.30480000000000002</v>
      </c>
      <c r="F7" s="6">
        <f t="shared" si="1"/>
        <v>235.5</v>
      </c>
      <c r="G7" s="6">
        <f>IF(Ввод!$B$1&gt;760,Ввод!E25,0.5+(Ввод!E25-0.5)/(1+(760-Ввод!$B$1)/60))</f>
        <v>0.5</v>
      </c>
      <c r="H7" s="6">
        <f t="shared" si="2"/>
        <v>0</v>
      </c>
      <c r="I7" s="6">
        <f>IF(Ввод!$D$1=1,1.2+0.86*M7,1+0.41*M7)</f>
        <v>1.6764999999999999</v>
      </c>
      <c r="J7" s="6">
        <f>IF(Ввод!$D$1=1,2+1.74*M7,1.8+1.33*M7)</f>
        <v>3.9945000000000004</v>
      </c>
      <c r="K7" s="6">
        <f t="shared" si="3"/>
        <v>2.6972860550004705</v>
      </c>
      <c r="L7" s="6">
        <f t="shared" si="4"/>
        <v>3.3553800000000003</v>
      </c>
      <c r="M7" s="6">
        <f t="shared" si="6"/>
        <v>1.65</v>
      </c>
      <c r="N7" s="6" t="str">
        <f t="shared" si="5"/>
        <v>OK</v>
      </c>
      <c r="O7" s="6">
        <f>IF(ISNUMBER(A7),IF(Ввод!$D$1=1,ROUND(A7+G7,1),A7),"")</f>
        <v>25</v>
      </c>
    </row>
    <row r="8" spans="1:17" x14ac:dyDescent="0.25">
      <c r="A8" s="2">
        <v>30</v>
      </c>
      <c r="B8" s="6">
        <f>Ввод!C10</f>
        <v>244</v>
      </c>
      <c r="C8" s="6">
        <f>Ввод!D10</f>
        <v>244</v>
      </c>
      <c r="D8" s="6">
        <f t="shared" si="0"/>
        <v>244</v>
      </c>
      <c r="E8" s="6">
        <f>0.00012*(760-Ввод!$B$1)*(273+D8)</f>
        <v>0.31020000000000003</v>
      </c>
      <c r="F8" s="6">
        <f t="shared" si="1"/>
        <v>244.5</v>
      </c>
      <c r="G8" s="6">
        <f>IF(Ввод!$B$1&gt;760,Ввод!E25,0.5+(Ввод!E25-0.5)/(1+(760-Ввод!$B$1)/60))</f>
        <v>0.5</v>
      </c>
      <c r="H8" s="6">
        <f t="shared" si="2"/>
        <v>0</v>
      </c>
      <c r="I8" s="6">
        <f>IF(Ввод!$D$1=1,1.2+0.86*M8,1+0.41*M8)</f>
        <v>1.615</v>
      </c>
      <c r="J8" s="6">
        <f>IF(Ввод!$D$1=1,2+1.74*M8,1.8+1.33*M8)</f>
        <v>3.7949999999999999</v>
      </c>
      <c r="K8" s="6">
        <f t="shared" si="3"/>
        <v>2.5590928568537716</v>
      </c>
      <c r="L8" s="6">
        <f t="shared" si="4"/>
        <v>3.1877999999999997</v>
      </c>
      <c r="M8" s="6">
        <f t="shared" si="6"/>
        <v>1.5</v>
      </c>
      <c r="N8" s="6" t="str">
        <f t="shared" si="5"/>
        <v>OK</v>
      </c>
      <c r="O8" s="6">
        <f>IF(ISNUMBER(A8),IF(Ввод!$D$1=1,ROUND(A8+G8,1),A8),"")</f>
        <v>30</v>
      </c>
    </row>
    <row r="9" spans="1:17" x14ac:dyDescent="0.25">
      <c r="A9" s="2">
        <v>35</v>
      </c>
      <c r="B9" s="6">
        <f>Ввод!C11</f>
        <v>250</v>
      </c>
      <c r="C9" s="6">
        <f>Ввод!D11</f>
        <v>250</v>
      </c>
      <c r="D9" s="6">
        <f t="shared" si="0"/>
        <v>250</v>
      </c>
      <c r="E9" s="6">
        <f>0.00012*(760-Ввод!$B$1)*(273+D9)</f>
        <v>0.31380000000000002</v>
      </c>
      <c r="F9" s="6">
        <f t="shared" si="1"/>
        <v>250.5</v>
      </c>
      <c r="G9" s="6">
        <f>IF(Ввод!$B$1&gt;760,Ввод!E25,0.5+(Ввод!E25-0.5)/(1+(760-Ввод!$B$1)/60))</f>
        <v>0.5</v>
      </c>
      <c r="H9" s="6">
        <f t="shared" si="2"/>
        <v>0</v>
      </c>
      <c r="I9" s="6">
        <f>IF(Ввод!$D$1=1,1.2+0.86*M9,1+0.41*M9)</f>
        <v>1.5125</v>
      </c>
      <c r="J9" s="6">
        <f>IF(Ввод!$D$1=1,2+1.74*M9,1.8+1.33*M9)</f>
        <v>3.4625000000000004</v>
      </c>
      <c r="K9" s="6">
        <f t="shared" si="3"/>
        <v>2.3286345918799713</v>
      </c>
      <c r="L9" s="6">
        <f t="shared" si="4"/>
        <v>2.9085000000000001</v>
      </c>
      <c r="M9" s="6">
        <f t="shared" si="6"/>
        <v>1.25</v>
      </c>
      <c r="N9" s="6" t="str">
        <f t="shared" si="5"/>
        <v>OK</v>
      </c>
      <c r="O9" s="6">
        <f>IF(ISNUMBER(A9),IF(Ввод!$D$1=1,ROUND(A9+G9,1),A9),"")</f>
        <v>35</v>
      </c>
    </row>
    <row r="10" spans="1:17" x14ac:dyDescent="0.25">
      <c r="A10" s="2">
        <v>40</v>
      </c>
      <c r="B10" s="6">
        <f>Ввод!C12</f>
        <v>256.5</v>
      </c>
      <c r="C10" s="6">
        <f>Ввод!D12</f>
        <v>256.5</v>
      </c>
      <c r="D10" s="6">
        <f t="shared" si="0"/>
        <v>256.5</v>
      </c>
      <c r="E10" s="6">
        <f>0.00012*(760-Ввод!$B$1)*(273+D10)</f>
        <v>0.31770000000000004</v>
      </c>
      <c r="F10" s="6">
        <f t="shared" si="1"/>
        <v>257</v>
      </c>
      <c r="G10" s="6">
        <f>IF(Ввод!$B$1&gt;760,Ввод!E25,0.5+(Ввод!E25-0.5)/(1+(760-Ввод!$B$1)/60))</f>
        <v>0.5</v>
      </c>
      <c r="H10" s="6">
        <f t="shared" si="2"/>
        <v>0</v>
      </c>
      <c r="I10" s="6">
        <f>IF(Ввод!$D$1=1,1.2+0.86*M10,1+0.41*M10)</f>
        <v>1.492</v>
      </c>
      <c r="J10" s="6">
        <f>IF(Ввод!$D$1=1,2+1.74*M10,1.8+1.33*M10)</f>
        <v>3.3959999999999999</v>
      </c>
      <c r="K10" s="6">
        <f t="shared" si="3"/>
        <v>2.2825187841505268</v>
      </c>
      <c r="L10" s="6">
        <f t="shared" si="4"/>
        <v>2.8526399999999996</v>
      </c>
      <c r="M10" s="6">
        <f t="shared" si="6"/>
        <v>1.2</v>
      </c>
      <c r="N10" s="6" t="str">
        <f t="shared" si="5"/>
        <v>OK</v>
      </c>
      <c r="O10" s="6">
        <f>IF(ISNUMBER(A10),IF(Ввод!$D$1=1,ROUND(A10+G10,1),A10),"")</f>
        <v>40</v>
      </c>
    </row>
    <row r="11" spans="1:17" x14ac:dyDescent="0.25">
      <c r="A11" s="2">
        <v>45</v>
      </c>
      <c r="B11" s="6">
        <f>Ввод!C13</f>
        <v>262</v>
      </c>
      <c r="C11" s="6">
        <f>Ввод!D13</f>
        <v>262</v>
      </c>
      <c r="D11" s="6">
        <f t="shared" si="0"/>
        <v>262</v>
      </c>
      <c r="E11" s="6">
        <f>0.00012*(760-Ввод!$B$1)*(273+D11)</f>
        <v>0.32100000000000001</v>
      </c>
      <c r="F11" s="6">
        <f t="shared" si="1"/>
        <v>262.5</v>
      </c>
      <c r="G11" s="6">
        <f>IF(Ввод!$B$1&gt;760,Ввод!E25,0.5+(Ввод!E25-0.5)/(1+(760-Ввод!$B$1)/60))</f>
        <v>0.5</v>
      </c>
      <c r="H11" s="6">
        <f t="shared" si="2"/>
        <v>0</v>
      </c>
      <c r="I11" s="6">
        <f>IF(Ввод!$D$1=1,1.2+0.86*M11,1+0.41*M11)</f>
        <v>1.5125</v>
      </c>
      <c r="J11" s="6">
        <f>IF(Ввод!$D$1=1,2+1.74*M11,1.8+1.33*M11)</f>
        <v>3.4625000000000004</v>
      </c>
      <c r="K11" s="6">
        <f t="shared" si="3"/>
        <v>2.3286345918799713</v>
      </c>
      <c r="L11" s="6">
        <f t="shared" si="4"/>
        <v>2.9085000000000001</v>
      </c>
      <c r="M11" s="6">
        <f t="shared" si="6"/>
        <v>1.25</v>
      </c>
      <c r="N11" s="6" t="str">
        <f t="shared" si="5"/>
        <v>OK</v>
      </c>
      <c r="O11" s="6">
        <f>IF(ISNUMBER(A11),IF(Ввод!$D$1=1,ROUND(A11+G11,1),A11),"")</f>
        <v>45</v>
      </c>
    </row>
    <row r="12" spans="1:17" x14ac:dyDescent="0.25">
      <c r="A12" s="2">
        <v>50</v>
      </c>
      <c r="B12" s="6">
        <f>Ввод!C14</f>
        <v>268.75</v>
      </c>
      <c r="C12" s="6">
        <f>Ввод!D14</f>
        <v>268.75</v>
      </c>
      <c r="D12" s="6">
        <f t="shared" si="0"/>
        <v>269</v>
      </c>
      <c r="E12" s="6">
        <f>0.00012*(760-Ввод!$B$1)*(273+D12)</f>
        <v>0.32520000000000004</v>
      </c>
      <c r="F12" s="6">
        <f t="shared" si="1"/>
        <v>269.5</v>
      </c>
      <c r="G12" s="6">
        <f>IF(Ввод!$B$1&gt;760,Ввод!E25,0.5+(Ввод!E25-0.5)/(1+(760-Ввод!$B$1)/60))</f>
        <v>0.5</v>
      </c>
      <c r="H12" s="6">
        <f t="shared" si="2"/>
        <v>0</v>
      </c>
      <c r="I12" s="6">
        <f>IF(Ввод!$D$1=1,1.2+0.86*M12,1+0.41*M12)</f>
        <v>1.492</v>
      </c>
      <c r="J12" s="6">
        <f>IF(Ввод!$D$1=1,2+1.74*M12,1.8+1.33*M12)</f>
        <v>3.3959999999999999</v>
      </c>
      <c r="K12" s="6">
        <f t="shared" si="3"/>
        <v>2.2825187841505268</v>
      </c>
      <c r="L12" s="6">
        <f t="shared" si="4"/>
        <v>2.8526399999999996</v>
      </c>
      <c r="M12" s="6">
        <f t="shared" si="6"/>
        <v>1.2</v>
      </c>
      <c r="N12" s="6" t="str">
        <f t="shared" si="5"/>
        <v>OK</v>
      </c>
      <c r="O12" s="6">
        <f>IF(ISNUMBER(A12),IF(Ввод!$D$1=1,ROUND(A12+G12,1),A12),"")</f>
        <v>50</v>
      </c>
    </row>
    <row r="13" spans="1:17" x14ac:dyDescent="0.25">
      <c r="A13" s="2">
        <v>55</v>
      </c>
      <c r="B13" s="6">
        <f>Ввод!C15</f>
        <v>274</v>
      </c>
      <c r="C13" s="6">
        <f>Ввод!D15</f>
        <v>274</v>
      </c>
      <c r="D13" s="6">
        <f t="shared" si="0"/>
        <v>274</v>
      </c>
      <c r="E13" s="6">
        <f>0.00012*(760-Ввод!$B$1)*(273+D13)</f>
        <v>0.32820000000000005</v>
      </c>
      <c r="F13" s="6">
        <f t="shared" si="1"/>
        <v>274.5</v>
      </c>
      <c r="G13" s="6">
        <f>IF(Ввод!$B$1&gt;760,Ввод!E25,0.5+(Ввод!E25-0.5)/(1+(760-Ввод!$B$1)/60))</f>
        <v>0.5</v>
      </c>
      <c r="H13" s="6">
        <f t="shared" si="2"/>
        <v>0</v>
      </c>
      <c r="I13" s="6">
        <f>IF(Ввод!$D$1=1,1.2+0.86*M13,1+0.41*M13)</f>
        <v>1.4714999999999998</v>
      </c>
      <c r="J13" s="6">
        <f>IF(Ввод!$D$1=1,2+1.74*M13,1.8+1.33*M13)</f>
        <v>3.3294999999999999</v>
      </c>
      <c r="K13" s="6">
        <f t="shared" si="3"/>
        <v>2.2363937628467845</v>
      </c>
      <c r="L13" s="6">
        <f t="shared" si="4"/>
        <v>2.7967799999999996</v>
      </c>
      <c r="M13" s="6">
        <f t="shared" si="6"/>
        <v>1.1499999999999999</v>
      </c>
      <c r="N13" s="6" t="str">
        <f t="shared" si="5"/>
        <v>OK</v>
      </c>
      <c r="O13" s="6">
        <f>IF(ISNUMBER(A13),IF(Ввод!$D$1=1,ROUND(A13+G13,1),A13),"")</f>
        <v>55</v>
      </c>
    </row>
    <row r="14" spans="1:17" x14ac:dyDescent="0.25">
      <c r="A14" s="2">
        <v>60</v>
      </c>
      <c r="B14" s="6">
        <f>Ввод!C16</f>
        <v>280.5</v>
      </c>
      <c r="C14" s="6">
        <f>Ввод!D16</f>
        <v>280.5</v>
      </c>
      <c r="D14" s="6">
        <f t="shared" si="0"/>
        <v>280.5</v>
      </c>
      <c r="E14" s="6">
        <f>0.00012*(760-Ввод!$B$1)*(273+D14)</f>
        <v>0.33210000000000001</v>
      </c>
      <c r="F14" s="6">
        <f t="shared" si="1"/>
        <v>281</v>
      </c>
      <c r="G14" s="6">
        <f>IF(Ввод!$B$1&gt;760,Ввод!E25,0.5+(Ввод!E25-0.5)/(1+(760-Ввод!$B$1)/60))</f>
        <v>0.5</v>
      </c>
      <c r="H14" s="6">
        <f t="shared" si="2"/>
        <v>0</v>
      </c>
      <c r="I14" s="6">
        <f>IF(Ввод!$D$1=1,1.2+0.86*M14,1+0.41*M14)</f>
        <v>1.5329999999999999</v>
      </c>
      <c r="J14" s="6">
        <f>IF(Ввод!$D$1=1,2+1.74*M14,1.8+1.33*M14)</f>
        <v>3.5289999999999999</v>
      </c>
      <c r="K14" s="6">
        <f t="shared" si="3"/>
        <v>2.3747417227985022</v>
      </c>
      <c r="L14" s="6">
        <f t="shared" si="4"/>
        <v>2.9643599999999997</v>
      </c>
      <c r="M14" s="6">
        <f t="shared" si="6"/>
        <v>1.3</v>
      </c>
      <c r="N14" s="6" t="str">
        <f t="shared" si="5"/>
        <v>OK</v>
      </c>
      <c r="O14" s="6">
        <f>IF(ISNUMBER(A14),IF(Ввод!$D$1=1,ROUND(A14+G14,1),A14),"")</f>
        <v>60</v>
      </c>
    </row>
    <row r="15" spans="1:17" x14ac:dyDescent="0.25">
      <c r="A15" s="2">
        <v>65</v>
      </c>
      <c r="B15" s="6">
        <f>Ввод!C17</f>
        <v>287</v>
      </c>
      <c r="C15" s="6">
        <f>Ввод!D17</f>
        <v>287</v>
      </c>
      <c r="D15" s="6">
        <f t="shared" si="0"/>
        <v>287</v>
      </c>
      <c r="E15" s="6">
        <f>0.00012*(760-Ввод!$B$1)*(273+D15)</f>
        <v>0.33600000000000002</v>
      </c>
      <c r="F15" s="6">
        <f t="shared" si="1"/>
        <v>287.5</v>
      </c>
      <c r="G15" s="6">
        <f>IF(Ввод!$B$1&gt;760,Ввод!E25,0.5+(Ввод!E25-0.5)/(1+(760-Ввод!$B$1)/60))</f>
        <v>0.5</v>
      </c>
      <c r="H15" s="6">
        <f t="shared" si="2"/>
        <v>0</v>
      </c>
      <c r="I15" s="6">
        <f>IF(Ввод!$D$1=1,1.2+0.86*M15,1+0.41*M15)</f>
        <v>1.5535000000000001</v>
      </c>
      <c r="J15" s="6">
        <f>IF(Ввод!$D$1=1,2+1.74*M15,1.8+1.33*M15)</f>
        <v>3.5955000000000004</v>
      </c>
      <c r="K15" s="6">
        <f t="shared" si="3"/>
        <v>2.4208406726796374</v>
      </c>
      <c r="L15" s="6">
        <f t="shared" si="4"/>
        <v>3.0202200000000001</v>
      </c>
      <c r="M15" s="6">
        <f t="shared" si="6"/>
        <v>1.35</v>
      </c>
      <c r="N15" s="6" t="str">
        <f t="shared" si="5"/>
        <v>OK</v>
      </c>
      <c r="O15" s="6">
        <f>IF(ISNUMBER(A15),IF(Ввод!$D$1=1,ROUND(A15+G15,1),A15),"")</f>
        <v>65</v>
      </c>
    </row>
    <row r="16" spans="1:17" x14ac:dyDescent="0.25">
      <c r="A16" s="2">
        <v>70</v>
      </c>
      <c r="B16" s="6">
        <f>Ввод!C18</f>
        <v>293.75</v>
      </c>
      <c r="C16" s="6">
        <f>Ввод!D18</f>
        <v>293.75</v>
      </c>
      <c r="D16" s="6">
        <f t="shared" si="0"/>
        <v>294</v>
      </c>
      <c r="E16" s="6">
        <f>0.00012*(760-Ввод!$B$1)*(273+D16)</f>
        <v>0.34020000000000006</v>
      </c>
      <c r="F16" s="6">
        <f t="shared" si="1"/>
        <v>294.5</v>
      </c>
      <c r="G16" s="6">
        <f>IF(Ввод!$B$1&gt;760,Ввод!E25,0.5+(Ввод!E25-0.5)/(1+(760-Ввод!$B$1)/60))</f>
        <v>0.5</v>
      </c>
      <c r="H16" s="6">
        <f t="shared" si="2"/>
        <v>0</v>
      </c>
      <c r="I16" s="6">
        <f>IF(Ввод!$D$1=1,1.2+0.86*M16,1+0.41*M16)</f>
        <v>1.5329999999999999</v>
      </c>
      <c r="J16" s="6">
        <f>IF(Ввод!$D$1=1,2+1.74*M16,1.8+1.33*M16)</f>
        <v>3.5289999999999999</v>
      </c>
      <c r="K16" s="6">
        <f t="shared" si="3"/>
        <v>2.3747417227985022</v>
      </c>
      <c r="L16" s="6">
        <f t="shared" si="4"/>
        <v>2.9643599999999997</v>
      </c>
      <c r="M16" s="6">
        <f t="shared" si="6"/>
        <v>1.3</v>
      </c>
      <c r="N16" s="6" t="str">
        <f t="shared" si="5"/>
        <v>OK</v>
      </c>
      <c r="O16" s="6">
        <f>IF(ISNUMBER(A16),IF(Ввод!$D$1=1,ROUND(A16+G16,1),A16),"")</f>
        <v>70</v>
      </c>
    </row>
    <row r="17" spans="1:15" x14ac:dyDescent="0.25">
      <c r="A17" s="2">
        <v>75</v>
      </c>
      <c r="B17" s="6">
        <f>Ввод!C19</f>
        <v>300</v>
      </c>
      <c r="C17" s="6">
        <f>Ввод!D19</f>
        <v>300</v>
      </c>
      <c r="D17" s="6">
        <f t="shared" si="0"/>
        <v>300</v>
      </c>
      <c r="E17" s="6">
        <f>0.00012*(760-Ввод!$B$1)*(273+D17)</f>
        <v>0.34380000000000005</v>
      </c>
      <c r="F17" s="6">
        <f t="shared" si="1"/>
        <v>300.5</v>
      </c>
      <c r="G17" s="6">
        <f>IF(Ввод!$B$1&gt;760,Ввод!E25,0.5+(Ввод!E25-0.5)/(1+(760-Ввод!$B$1)/60))</f>
        <v>0.5</v>
      </c>
      <c r="H17" s="6">
        <f t="shared" si="2"/>
        <v>0</v>
      </c>
      <c r="I17" s="6">
        <f>IF(Ввод!$D$1=1,1.2+0.86*M17,1+0.41*M17)</f>
        <v>1.6355</v>
      </c>
      <c r="J17" s="6">
        <f>IF(Ввод!$D$1=1,2+1.74*M17,1.8+1.33*M17)</f>
        <v>3.8615000000000004</v>
      </c>
      <c r="K17" s="6">
        <f t="shared" si="3"/>
        <v>2.6051633466061204</v>
      </c>
      <c r="L17" s="6">
        <f t="shared" si="4"/>
        <v>3.2436600000000002</v>
      </c>
      <c r="M17" s="6">
        <f t="shared" si="6"/>
        <v>1.55</v>
      </c>
      <c r="N17" s="6" t="str">
        <f t="shared" si="5"/>
        <v>OK</v>
      </c>
      <c r="O17" s="6">
        <f>IF(ISNUMBER(A17),IF(Ввод!$D$1=1,ROUND(A17+G17,1),A17),"")</f>
        <v>75</v>
      </c>
    </row>
    <row r="18" spans="1:15" x14ac:dyDescent="0.25">
      <c r="A18" s="2">
        <v>80</v>
      </c>
      <c r="B18" s="6">
        <f>Ввод!C20</f>
        <v>309.25</v>
      </c>
      <c r="C18" s="6">
        <f>Ввод!D20</f>
        <v>309.25</v>
      </c>
      <c r="D18" s="6">
        <f t="shared" si="0"/>
        <v>309.5</v>
      </c>
      <c r="E18" s="6">
        <f>0.00012*(760-Ввод!$B$1)*(273+D18)</f>
        <v>0.34950000000000003</v>
      </c>
      <c r="F18" s="6">
        <f t="shared" si="1"/>
        <v>310</v>
      </c>
      <c r="G18" s="6">
        <f>IF(Ввод!$B$1&gt;760,Ввод!E25,0.5+(Ввод!E25-0.5)/(1+(760-Ввод!$B$1)/60))</f>
        <v>0.5</v>
      </c>
      <c r="H18" s="6">
        <f t="shared" si="2"/>
        <v>0</v>
      </c>
      <c r="I18" s="6">
        <f>IF(Ввод!$D$1=1,1.2+0.86*M18,1+0.41*M18)</f>
        <v>1.738</v>
      </c>
      <c r="J18" s="6">
        <f>IF(Ввод!$D$1=1,2+1.74*M18,1.8+1.33*M18)</f>
        <v>4.194</v>
      </c>
      <c r="K18" s="6">
        <f t="shared" si="3"/>
        <v>2.8354288917199102</v>
      </c>
      <c r="L18" s="6">
        <f t="shared" si="4"/>
        <v>3.5229599999999999</v>
      </c>
      <c r="M18" s="6">
        <f t="shared" si="6"/>
        <v>1.8</v>
      </c>
      <c r="N18" s="6" t="str">
        <f t="shared" si="5"/>
        <v>OK</v>
      </c>
      <c r="O18" s="6">
        <f>IF(ISNUMBER(A18),IF(Ввод!$D$1=1,ROUND(A18+G18,1),A18),"")</f>
        <v>80</v>
      </c>
    </row>
    <row r="19" spans="1:15" x14ac:dyDescent="0.25">
      <c r="A19" s="2">
        <v>85</v>
      </c>
      <c r="B19" s="6">
        <f>Ввод!C21</f>
        <v>318</v>
      </c>
      <c r="C19" s="6">
        <f>Ввод!D21</f>
        <v>318</v>
      </c>
      <c r="D19" s="6">
        <f t="shared" si="0"/>
        <v>318</v>
      </c>
      <c r="E19" s="6">
        <f>0.00012*(760-Ввод!$B$1)*(273+D19)</f>
        <v>0.35460000000000003</v>
      </c>
      <c r="F19" s="6">
        <f t="shared" si="1"/>
        <v>318.5</v>
      </c>
      <c r="G19" s="6">
        <f>IF(Ввод!$B$1&gt;760,Ввод!E25,0.5+(Ввод!E25-0.5)/(1+(760-Ввод!$B$1)/60))</f>
        <v>0.5</v>
      </c>
      <c r="H19" s="6">
        <f t="shared" si="2"/>
        <v>0</v>
      </c>
      <c r="I19" s="6">
        <f>IF(Ввод!$D$1=1,1.2+0.86*M19,1+0.41*M19)</f>
        <v>1.8405</v>
      </c>
      <c r="J19" s="6">
        <f>IF(Ввод!$D$1=1,2+1.74*M19,1.8+1.33*M19)</f>
        <v>4.5264999999999995</v>
      </c>
      <c r="K19" s="6">
        <f t="shared" si="3"/>
        <v>3.0655735291295811</v>
      </c>
      <c r="L19" s="6">
        <f t="shared" si="4"/>
        <v>3.8022599999999995</v>
      </c>
      <c r="M19" s="6">
        <f t="shared" si="6"/>
        <v>2.0499999999999998</v>
      </c>
      <c r="N19" s="6" t="str">
        <f t="shared" si="5"/>
        <v>OK</v>
      </c>
      <c r="O19" s="6">
        <f>IF(ISNUMBER(A19),IF(Ввод!$D$1=1,ROUND(A19+G19,1),A19),"")</f>
        <v>85</v>
      </c>
    </row>
    <row r="20" spans="1:15" x14ac:dyDescent="0.25">
      <c r="A20" s="2">
        <v>90</v>
      </c>
      <c r="B20" s="6">
        <f>Ввод!C22</f>
        <v>329.75</v>
      </c>
      <c r="C20" s="6">
        <f>Ввод!D22</f>
        <v>329.75</v>
      </c>
      <c r="D20" s="6">
        <f t="shared" si="0"/>
        <v>330</v>
      </c>
      <c r="E20" s="6">
        <f>0.00012*(760-Ввод!$B$1)*(273+D20)</f>
        <v>0.36180000000000001</v>
      </c>
      <c r="F20" s="6">
        <f t="shared" si="1"/>
        <v>330.5</v>
      </c>
      <c r="G20" s="6">
        <f>IF(Ввод!$B$1&gt;760,Ввод!E25,0.5+(Ввод!E25-0.5)/(1+(760-Ввод!$B$1)/60))</f>
        <v>0.5</v>
      </c>
      <c r="H20" s="6">
        <f t="shared" si="2"/>
        <v>0</v>
      </c>
      <c r="I20" s="6">
        <f>IF(Ввод!$D$1=1,1.2+0.86*M20,1+0.41*M20)</f>
        <v>2.1274999999999999</v>
      </c>
      <c r="J20" s="6">
        <f>IF(Ввод!$D$1=1,0.8+1.74*M20,1.8+1.33*M20)</f>
        <v>5.4575000000000005</v>
      </c>
      <c r="K20" s="6">
        <f t="shared" si="3"/>
        <v>3.709526797652229</v>
      </c>
      <c r="L20" s="6">
        <f t="shared" si="4"/>
        <v>4.5842999999999998</v>
      </c>
      <c r="M20" s="6">
        <f t="shared" si="6"/>
        <v>2.75</v>
      </c>
      <c r="N20" s="6" t="str">
        <f t="shared" si="5"/>
        <v>OK</v>
      </c>
      <c r="O20" s="6">
        <f>IF(ISNUMBER(A20),IF(Ввод!$D$1=1,ROUND(A20+G20,1),A20),"")</f>
        <v>90</v>
      </c>
    </row>
    <row r="21" spans="1:15" x14ac:dyDescent="0.25">
      <c r="A21" s="2">
        <v>95</v>
      </c>
      <c r="B21" s="6">
        <f>Ввод!C23</f>
        <v>345.25</v>
      </c>
      <c r="C21" s="6">
        <f>Ввод!D23</f>
        <v>345.25</v>
      </c>
      <c r="D21" s="6">
        <f t="shared" si="0"/>
        <v>345.5</v>
      </c>
      <c r="E21" s="6">
        <f>0.00012*(760-Ввод!$B$1)*(273+D21)</f>
        <v>0.37110000000000004</v>
      </c>
      <c r="F21" s="6">
        <f t="shared" si="1"/>
        <v>346</v>
      </c>
      <c r="G21" s="6">
        <f>IF(Ввод!$B$1&gt;760,Ввод!E25,0.5+(Ввод!E25-0.5)/(1+(760-Ввод!$B$1)/60))</f>
        <v>0.5</v>
      </c>
      <c r="H21" s="6">
        <f t="shared" si="2"/>
        <v>0</v>
      </c>
      <c r="I21" s="6">
        <f>IF(Ввод!$D$1=1,1.2+0.86*M21,1+0.41*M21)</f>
        <v>2.2709999999999999</v>
      </c>
      <c r="J21" s="6">
        <f>IF(Ввод!$D$1=1,1.1+1.74*M21,1.8+1.33*M21)</f>
        <v>5.923</v>
      </c>
      <c r="K21" s="6">
        <f t="shared" si="3"/>
        <v>4.0313278519614348</v>
      </c>
      <c r="L21" s="6">
        <f t="shared" si="4"/>
        <v>4.97532</v>
      </c>
      <c r="M21" s="6">
        <f>IF(OR(ISBLANK(F20),ISBLANK(F21)),"",ABS(F21-F20)/(A21-A20))</f>
        <v>3.1</v>
      </c>
      <c r="N21" s="6" t="str">
        <f t="shared" si="5"/>
        <v>OK</v>
      </c>
      <c r="O21" s="6">
        <f>IF(ISNUMBER(A21),IF(Ввод!$D$1=1,ROUND(A21+G21,1),A21),"")</f>
        <v>95</v>
      </c>
    </row>
    <row r="22" spans="1:15" x14ac:dyDescent="0.25">
      <c r="A22" s="2">
        <v>100</v>
      </c>
      <c r="B22" s="6">
        <f>Ввод!C24</f>
        <v>355</v>
      </c>
      <c r="C22" s="6">
        <f>Ввод!D24</f>
        <v>355</v>
      </c>
      <c r="D22" s="6">
        <f t="shared" si="0"/>
        <v>355</v>
      </c>
      <c r="E22" s="6">
        <f>0.00012*(760-Ввод!$B$1)*(273+D22)</f>
        <v>0.37680000000000002</v>
      </c>
      <c r="F22" s="6">
        <f t="shared" si="1"/>
        <v>355.5</v>
      </c>
      <c r="G22" s="6">
        <f>IF(Ввод!$B$1&gt;760,Ввод!E25,0.5+(Ввод!E25-0.5)/(1+(760-Ввод!$B$1)/60))</f>
        <v>0.5</v>
      </c>
      <c r="H22" s="6">
        <f t="shared" si="2"/>
        <v>0</v>
      </c>
      <c r="I22" s="6">
        <f>IF(Ввод!$D$1=1,3.9,0.36*M22+0.7)</f>
        <v>1.3839999999999999</v>
      </c>
      <c r="J22" s="6">
        <f>IF(Ввод!$D$1=1,7.2,0.42*M22+3.1)</f>
        <v>3.8980000000000001</v>
      </c>
      <c r="K22" s="6">
        <f t="shared" si="3"/>
        <v>2.668021364232303</v>
      </c>
      <c r="L22" s="6">
        <f t="shared" si="4"/>
        <v>3.2743199999999999</v>
      </c>
      <c r="M22" s="6">
        <f>IF(OR(ISBLANK(F21),ISBLANK(F22)),"",ABS(F22-F21)/5)</f>
        <v>1.9</v>
      </c>
      <c r="N22" s="6" t="str">
        <f t="shared" si="5"/>
        <v>OK</v>
      </c>
      <c r="O22" s="6">
        <f>IF(ISNUMBER(A22),IF(Ввод!$D$1=1,ROUND(A22+G22,1),A22),"")</f>
        <v>100</v>
      </c>
    </row>
    <row r="25" spans="1:15" x14ac:dyDescent="0.25">
      <c r="A25" s="11" t="s">
        <v>70</v>
      </c>
    </row>
    <row r="26" spans="1:15" x14ac:dyDescent="0.25">
      <c r="A26" s="12" t="s">
        <v>71</v>
      </c>
      <c r="B26" s="12" t="s">
        <v>72</v>
      </c>
      <c r="C26" s="12" t="s">
        <v>73</v>
      </c>
      <c r="D26" s="12" t="s">
        <v>74</v>
      </c>
      <c r="E26" s="12" t="s">
        <v>75</v>
      </c>
      <c r="F26" s="12" t="s">
        <v>76</v>
      </c>
      <c r="G26" s="12" t="s">
        <v>77</v>
      </c>
      <c r="H26" s="12" t="s">
        <v>67</v>
      </c>
      <c r="I26" s="12" t="s">
        <v>78</v>
      </c>
    </row>
    <row r="27" spans="1:15" x14ac:dyDescent="0.25">
      <c r="A27" s="13">
        <v>150</v>
      </c>
      <c r="B27" s="14">
        <f>IF(ISNUMBER(A27),(A27-0.00012*(760-Ввод!$B$1)*273)/(1+0.00012*(760-Ввод!$B$1)),"")</f>
        <v>149.74635218868679</v>
      </c>
      <c r="C27" s="15">
        <f>IF(ISNUMBER(A27),B27+0.00012*(760-Ввод!$B$1)*(273+B27)-A27,"")</f>
        <v>0</v>
      </c>
      <c r="D27" s="13">
        <v>5</v>
      </c>
      <c r="E27" s="13">
        <v>4</v>
      </c>
      <c r="F27" s="14">
        <f>IF(AND(ISNUMBER(D27),ISNUMBER(E27)),(D27+E27)/2/Ввод!$G$1*100,"")</f>
        <v>4.5</v>
      </c>
      <c r="G27" s="15">
        <f t="shared" ref="G27:G47" si="7">IF(AND(ISNUMBER(D27),ISNUMBER(E27),F27&lt;&gt;0),ABS(D27-E27)/(D27+E27)*100,"")</f>
        <v>11.111111111111111</v>
      </c>
      <c r="H27" s="16" t="str">
        <f t="shared" ref="H27:H47" si="8">IF(ISNUMBER(A27),IF(AND(ISNUMBER(D27),ISNUMBER(E27)),"OK","введи V1 и V2"),"—")</f>
        <v>OK</v>
      </c>
      <c r="I27" s="17" t="s">
        <v>79</v>
      </c>
    </row>
    <row r="28" spans="1:15" x14ac:dyDescent="0.25">
      <c r="A28" s="13">
        <v>200</v>
      </c>
      <c r="B28" s="14">
        <f>IF(ISNUMBER(A28),(A28-0.00012*(760-Ввод!$B$1)*273)/(1+0.00012*(760-Ввод!$B$1)),"")</f>
        <v>199.71637017789328</v>
      </c>
      <c r="C28" s="15">
        <f>IF(ISNUMBER(A28),B28+0.00012*(760-Ввод!$B$1)*(273+B28)-A28,"")</f>
        <v>2.8421709430404007E-14</v>
      </c>
      <c r="D28" s="13">
        <v>7</v>
      </c>
      <c r="E28" s="13">
        <v>6</v>
      </c>
      <c r="F28" s="14">
        <f>IF(AND(ISNUMBER(D28),ISNUMBER(E28)),(D28+E28)/2/Ввод!$G$1*100,"")</f>
        <v>6.5</v>
      </c>
      <c r="G28" s="15">
        <f t="shared" si="7"/>
        <v>7.6923076923076925</v>
      </c>
      <c r="H28" s="16" t="str">
        <f t="shared" si="8"/>
        <v>OK</v>
      </c>
    </row>
    <row r="29" spans="1:15" x14ac:dyDescent="0.25">
      <c r="A29" s="13">
        <v>250</v>
      </c>
      <c r="B29" s="14">
        <f>IF(ISNUMBER(A29),(A29-0.00012*(760-Ввод!$B$1)*273)/(1+0.00012*(760-Ввод!$B$1)),"")</f>
        <v>249.68638816709975</v>
      </c>
      <c r="C29" s="15">
        <f>IF(ISNUMBER(A29),B29+0.00012*(760-Ввод!$B$1)*(273+B29)-A29,"")</f>
        <v>0</v>
      </c>
      <c r="D29" s="13">
        <v>10</v>
      </c>
      <c r="E29" s="13">
        <v>9</v>
      </c>
      <c r="F29" s="14">
        <f>IF(AND(ISNUMBER(D29),ISNUMBER(E29)),(D29+E29)/2/Ввод!$G$1*100,"")</f>
        <v>9.5</v>
      </c>
      <c r="G29" s="15">
        <f t="shared" si="7"/>
        <v>5.2631578947368416</v>
      </c>
      <c r="H29" s="16" t="str">
        <f t="shared" si="8"/>
        <v>OK</v>
      </c>
    </row>
    <row r="30" spans="1:15" x14ac:dyDescent="0.25">
      <c r="A30" s="13">
        <v>300</v>
      </c>
      <c r="B30" s="14">
        <f>IF(ISNUMBER(A30),(A30-0.00012*(760-Ввод!$B$1)*273)/(1+0.00012*(760-Ввод!$B$1)),"")</f>
        <v>299.65640615630628</v>
      </c>
      <c r="C30" s="15">
        <f>IF(ISNUMBER(A30),B30+0.00012*(760-Ввод!$B$1)*(273+B30)-A30,"")</f>
        <v>5.6843418860808015E-14</v>
      </c>
      <c r="D30" s="13">
        <v>14</v>
      </c>
      <c r="E30" s="13">
        <v>13</v>
      </c>
      <c r="F30" s="14">
        <f>IF(AND(ISNUMBER(D30),ISNUMBER(E30)),(D30+E30)/2/Ввод!$G$1*100,"")</f>
        <v>13.5</v>
      </c>
      <c r="G30" s="15">
        <f t="shared" si="7"/>
        <v>3.7037037037037033</v>
      </c>
      <c r="H30" s="16" t="str">
        <f t="shared" si="8"/>
        <v>OK</v>
      </c>
    </row>
    <row r="31" spans="1:15" x14ac:dyDescent="0.25">
      <c r="A31" s="13">
        <v>350</v>
      </c>
      <c r="B31" s="14">
        <f>IF(ISNUMBER(A31),(A31-0.00012*(760-Ввод!$B$1)*273)/(1+0.00012*(760-Ввод!$B$1)),"")</f>
        <v>349.62642414551271</v>
      </c>
      <c r="C31" s="15">
        <f>IF(ISNUMBER(A31),B31+0.00012*(760-Ввод!$B$1)*(273+B31)-A31,"")</f>
        <v>0</v>
      </c>
      <c r="D31" s="13">
        <v>17</v>
      </c>
      <c r="E31" s="13">
        <v>18</v>
      </c>
      <c r="F31" s="14">
        <f>IF(AND(ISNUMBER(D31),ISNUMBER(E31)),(D31+E31)/2/Ввод!$G$1*100,"")</f>
        <v>17.5</v>
      </c>
      <c r="G31" s="15">
        <f t="shared" si="7"/>
        <v>2.8571428571428572</v>
      </c>
      <c r="H31" s="16" t="str">
        <f t="shared" si="8"/>
        <v>OK</v>
      </c>
    </row>
    <row r="32" spans="1:15" x14ac:dyDescent="0.25">
      <c r="A32" s="13"/>
      <c r="B32" s="14" t="str">
        <f>IF(ISNUMBER(A32),(A32-0.00012*(760-Ввод!$B$1)*273)/(1+0.00012*(760-Ввод!$B$1)),"")</f>
        <v/>
      </c>
      <c r="C32" s="15" t="str">
        <f>IF(ISNUMBER(A32),B32+0.00012*(760-Ввод!$B$1)*(273+B32)-A32,"")</f>
        <v/>
      </c>
      <c r="D32" s="13"/>
      <c r="E32" s="13"/>
      <c r="F32" s="14" t="str">
        <f>IF(AND(ISNUMBER(D32),ISNUMBER(E32)),(D32+E32)/2/Ввод!$G$1*100,"")</f>
        <v/>
      </c>
      <c r="G32" s="15" t="str">
        <f t="shared" si="7"/>
        <v/>
      </c>
      <c r="H32" s="16" t="str">
        <f t="shared" si="8"/>
        <v>—</v>
      </c>
    </row>
    <row r="33" spans="1:8" x14ac:dyDescent="0.25">
      <c r="A33" s="13"/>
      <c r="B33" s="14" t="str">
        <f>IF(ISNUMBER(A33),(A33-0.00012*(760-Ввод!$B$1)*273)/(1+0.00012*(760-Ввод!$B$1)),"")</f>
        <v/>
      </c>
      <c r="C33" s="15" t="str">
        <f>IF(ISNUMBER(A33),B33+0.00012*(760-Ввод!$B$1)*(273+B33)-A33,"")</f>
        <v/>
      </c>
      <c r="D33" s="13"/>
      <c r="E33" s="13"/>
      <c r="F33" s="14" t="str">
        <f>IF(AND(ISNUMBER(D33),ISNUMBER(E33)),(D33+E33)/2/Ввод!$G$1*100,"")</f>
        <v/>
      </c>
      <c r="G33" s="15" t="str">
        <f t="shared" si="7"/>
        <v/>
      </c>
      <c r="H33" s="16" t="str">
        <f t="shared" si="8"/>
        <v>—</v>
      </c>
    </row>
    <row r="34" spans="1:8" x14ac:dyDescent="0.25">
      <c r="A34" s="13"/>
      <c r="B34" s="14" t="str">
        <f>IF(ISNUMBER(A34),(A34-0.00012*(760-Ввод!$B$1)*273)/(1+0.00012*(760-Ввод!$B$1)),"")</f>
        <v/>
      </c>
      <c r="C34" s="15" t="str">
        <f>IF(ISNUMBER(A34),B34+0.00012*(760-Ввод!$B$1)*(273+B34)-A34,"")</f>
        <v/>
      </c>
      <c r="D34" s="13"/>
      <c r="E34" s="13"/>
      <c r="F34" s="14" t="str">
        <f>IF(AND(ISNUMBER(D34),ISNUMBER(E34)),(D34+E34)/2/Ввод!$G$1*100,"")</f>
        <v/>
      </c>
      <c r="G34" s="15" t="str">
        <f t="shared" si="7"/>
        <v/>
      </c>
      <c r="H34" s="16" t="str">
        <f t="shared" si="8"/>
        <v>—</v>
      </c>
    </row>
    <row r="35" spans="1:8" x14ac:dyDescent="0.25">
      <c r="A35" s="13"/>
      <c r="B35" s="14" t="str">
        <f>IF(ISNUMBER(A35),(A35-0.00012*(760-Ввод!$B$1)*273)/(1+0.00012*(760-Ввод!$B$1)),"")</f>
        <v/>
      </c>
      <c r="C35" s="15" t="str">
        <f>IF(ISNUMBER(A35),B35+0.00012*(760-Ввод!$B$1)*(273+B35)-A35,"")</f>
        <v/>
      </c>
      <c r="D35" s="13"/>
      <c r="E35" s="13"/>
      <c r="F35" s="14" t="str">
        <f>IF(AND(ISNUMBER(D35),ISNUMBER(E35)),(D35+E35)/2/Ввод!$G$1*100,"")</f>
        <v/>
      </c>
      <c r="G35" s="15" t="str">
        <f t="shared" si="7"/>
        <v/>
      </c>
      <c r="H35" s="16" t="str">
        <f t="shared" si="8"/>
        <v>—</v>
      </c>
    </row>
    <row r="36" spans="1:8" x14ac:dyDescent="0.25">
      <c r="A36" s="13"/>
      <c r="B36" s="14" t="str">
        <f>IF(ISNUMBER(A36),(A36-0.00012*(760-Ввод!$B$1)*273)/(1+0.00012*(760-Ввод!$B$1)),"")</f>
        <v/>
      </c>
      <c r="C36" s="15" t="str">
        <f>IF(ISNUMBER(A36),B36+0.00012*(760-Ввод!$B$1)*(273+B36)-A36,"")</f>
        <v/>
      </c>
      <c r="D36" s="13"/>
      <c r="E36" s="13"/>
      <c r="F36" s="14" t="str">
        <f>IF(AND(ISNUMBER(D36),ISNUMBER(E36)),(D36+E36)/2/Ввод!$G$1*100,"")</f>
        <v/>
      </c>
      <c r="G36" s="15" t="str">
        <f t="shared" si="7"/>
        <v/>
      </c>
      <c r="H36" s="16" t="str">
        <f t="shared" si="8"/>
        <v>—</v>
      </c>
    </row>
    <row r="37" spans="1:8" x14ac:dyDescent="0.25">
      <c r="A37" s="13"/>
      <c r="B37" s="14" t="str">
        <f>IF(ISNUMBER(A37),(A37-0.00012*(760-Ввод!$B$1)*273)/(1+0.00012*(760-Ввод!$B$1)),"")</f>
        <v/>
      </c>
      <c r="C37" s="15" t="str">
        <f>IF(ISNUMBER(A37),B37+0.00012*(760-Ввод!$B$1)*(273+B37)-A37,"")</f>
        <v/>
      </c>
      <c r="D37" s="13"/>
      <c r="E37" s="13"/>
      <c r="F37" s="14" t="str">
        <f>IF(AND(ISNUMBER(D37),ISNUMBER(E37)),(D37+E37)/2/Ввод!$G$1*100,"")</f>
        <v/>
      </c>
      <c r="G37" s="15" t="str">
        <f t="shared" si="7"/>
        <v/>
      </c>
      <c r="H37" s="16" t="str">
        <f t="shared" si="8"/>
        <v>—</v>
      </c>
    </row>
    <row r="38" spans="1:8" x14ac:dyDescent="0.25">
      <c r="A38" s="13"/>
      <c r="B38" s="14" t="str">
        <f>IF(ISNUMBER(A38),(A38-0.00012*(760-Ввод!$B$1)*273)/(1+0.00012*(760-Ввод!$B$1)),"")</f>
        <v/>
      </c>
      <c r="C38" s="15" t="str">
        <f>IF(ISNUMBER(A38),B38+0.00012*(760-Ввод!$B$1)*(273+B38)-A38,"")</f>
        <v/>
      </c>
      <c r="D38" s="13"/>
      <c r="E38" s="13"/>
      <c r="F38" s="14" t="str">
        <f>IF(AND(ISNUMBER(D38),ISNUMBER(E38)),(D38+E38)/2/Ввод!$G$1*100,"")</f>
        <v/>
      </c>
      <c r="G38" s="15" t="str">
        <f t="shared" si="7"/>
        <v/>
      </c>
      <c r="H38" s="16" t="str">
        <f t="shared" si="8"/>
        <v>—</v>
      </c>
    </row>
    <row r="39" spans="1:8" x14ac:dyDescent="0.25">
      <c r="A39" s="13"/>
      <c r="B39" s="14" t="str">
        <f>IF(ISNUMBER(A39),(A39-0.00012*(760-Ввод!$B$1)*273)/(1+0.00012*(760-Ввод!$B$1)),"")</f>
        <v/>
      </c>
      <c r="C39" s="15" t="str">
        <f>IF(ISNUMBER(A39),B39+0.00012*(760-Ввод!$B$1)*(273+B39)-A39,"")</f>
        <v/>
      </c>
      <c r="D39" s="13"/>
      <c r="E39" s="13"/>
      <c r="F39" s="14" t="str">
        <f>IF(AND(ISNUMBER(D39),ISNUMBER(E39)),(D39+E39)/2/Ввод!$G$1*100,"")</f>
        <v/>
      </c>
      <c r="G39" s="15" t="str">
        <f t="shared" si="7"/>
        <v/>
      </c>
      <c r="H39" s="16" t="str">
        <f t="shared" si="8"/>
        <v>—</v>
      </c>
    </row>
    <row r="40" spans="1:8" x14ac:dyDescent="0.25">
      <c r="A40" s="13"/>
      <c r="B40" s="14" t="str">
        <f>IF(ISNUMBER(A40),(A40-0.00012*(760-Ввод!$B$1)*273)/(1+0.00012*(760-Ввод!$B$1)),"")</f>
        <v/>
      </c>
      <c r="C40" s="15" t="str">
        <f>IF(ISNUMBER(A40),B40+0.00012*(760-Ввод!$B$1)*(273+B40)-A40,"")</f>
        <v/>
      </c>
      <c r="D40" s="13"/>
      <c r="E40" s="13"/>
      <c r="F40" s="14" t="str">
        <f>IF(AND(ISNUMBER(D40),ISNUMBER(E40)),(D40+E40)/2/Ввод!$G$1*100,"")</f>
        <v/>
      </c>
      <c r="G40" s="15" t="str">
        <f t="shared" si="7"/>
        <v/>
      </c>
      <c r="H40" s="16" t="str">
        <f t="shared" si="8"/>
        <v>—</v>
      </c>
    </row>
    <row r="41" spans="1:8" x14ac:dyDescent="0.25">
      <c r="A41" s="13"/>
      <c r="B41" s="14" t="str">
        <f>IF(ISNUMBER(A41),(A41-0.00012*(760-Ввод!$B$1)*273)/(1+0.00012*(760-Ввод!$B$1)),"")</f>
        <v/>
      </c>
      <c r="C41" s="15" t="str">
        <f>IF(ISNUMBER(A41),B41+0.00012*(760-Ввод!$B$1)*(273+B41)-A41,"")</f>
        <v/>
      </c>
      <c r="D41" s="13"/>
      <c r="E41" s="13"/>
      <c r="F41" s="14" t="str">
        <f>IF(AND(ISNUMBER(D41),ISNUMBER(E41)),(D41+E41)/2/Ввод!$G$1*100,"")</f>
        <v/>
      </c>
      <c r="G41" s="15" t="str">
        <f t="shared" si="7"/>
        <v/>
      </c>
      <c r="H41" s="16" t="str">
        <f t="shared" si="8"/>
        <v>—</v>
      </c>
    </row>
    <row r="42" spans="1:8" x14ac:dyDescent="0.25">
      <c r="A42" s="13"/>
      <c r="B42" s="14" t="str">
        <f>IF(ISNUMBER(A42),(A42-0.00012*(760-Ввод!$B$1)*273)/(1+0.00012*(760-Ввод!$B$1)),"")</f>
        <v/>
      </c>
      <c r="C42" s="15" t="str">
        <f>IF(ISNUMBER(A42),B42+0.00012*(760-Ввод!$B$1)*(273+B42)-A42,"")</f>
        <v/>
      </c>
      <c r="D42" s="13"/>
      <c r="E42" s="13"/>
      <c r="F42" s="14" t="str">
        <f>IF(AND(ISNUMBER(D42),ISNUMBER(E42)),(D42+E42)/2/Ввод!$G$1*100,"")</f>
        <v/>
      </c>
      <c r="G42" s="15" t="str">
        <f t="shared" si="7"/>
        <v/>
      </c>
      <c r="H42" s="16" t="str">
        <f t="shared" si="8"/>
        <v>—</v>
      </c>
    </row>
    <row r="43" spans="1:8" x14ac:dyDescent="0.25">
      <c r="A43" s="13"/>
      <c r="B43" s="14" t="str">
        <f>IF(ISNUMBER(A43),(A43-0.00012*(760-Ввод!$B$1)*273)/(1+0.00012*(760-Ввод!$B$1)),"")</f>
        <v/>
      </c>
      <c r="C43" s="15" t="str">
        <f>IF(ISNUMBER(A43),B43+0.00012*(760-Ввод!$B$1)*(273+B43)-A43,"")</f>
        <v/>
      </c>
      <c r="D43" s="13"/>
      <c r="E43" s="13"/>
      <c r="F43" s="14" t="str">
        <f>IF(AND(ISNUMBER(D43),ISNUMBER(E43)),(D43+E43)/2/Ввод!$G$1*100,"")</f>
        <v/>
      </c>
      <c r="G43" s="15" t="str">
        <f t="shared" si="7"/>
        <v/>
      </c>
      <c r="H43" s="16" t="str">
        <f t="shared" si="8"/>
        <v>—</v>
      </c>
    </row>
    <row r="44" spans="1:8" x14ac:dyDescent="0.25">
      <c r="A44" s="13"/>
      <c r="B44" s="14" t="str">
        <f>IF(ISNUMBER(A44),(A44-0.00012*(760-Ввод!$B$1)*273)/(1+0.00012*(760-Ввод!$B$1)),"")</f>
        <v/>
      </c>
      <c r="C44" s="15" t="str">
        <f>IF(ISNUMBER(A44),B44+0.00012*(760-Ввод!$B$1)*(273+B44)-A44,"")</f>
        <v/>
      </c>
      <c r="D44" s="13"/>
      <c r="E44" s="13"/>
      <c r="F44" s="14" t="str">
        <f>IF(AND(ISNUMBER(D44),ISNUMBER(E44)),(D44+E44)/2/Ввод!$G$1*100,"")</f>
        <v/>
      </c>
      <c r="G44" s="15" t="str">
        <f t="shared" si="7"/>
        <v/>
      </c>
      <c r="H44" s="16" t="str">
        <f t="shared" si="8"/>
        <v>—</v>
      </c>
    </row>
    <row r="45" spans="1:8" x14ac:dyDescent="0.25">
      <c r="A45" s="13"/>
      <c r="B45" s="14" t="str">
        <f>IF(ISNUMBER(A45),(A45-0.00012*(760-Ввод!$B$1)*273)/(1+0.00012*(760-Ввод!$B$1)),"")</f>
        <v/>
      </c>
      <c r="C45" s="15" t="str">
        <f>IF(ISNUMBER(A45),B45+0.00012*(760-Ввод!$B$1)*(273+B45)-A45,"")</f>
        <v/>
      </c>
      <c r="D45" s="13"/>
      <c r="E45" s="13"/>
      <c r="F45" s="14" t="str">
        <f>IF(AND(ISNUMBER(D45),ISNUMBER(E45)),(D45+E45)/2/Ввод!$G$1*100,"")</f>
        <v/>
      </c>
      <c r="G45" s="15" t="str">
        <f t="shared" si="7"/>
        <v/>
      </c>
      <c r="H45" s="16" t="str">
        <f t="shared" si="8"/>
        <v>—</v>
      </c>
    </row>
    <row r="46" spans="1:8" x14ac:dyDescent="0.25">
      <c r="A46" s="13"/>
      <c r="B46" s="14" t="str">
        <f>IF(ISNUMBER(A46),(A46-0.00012*(760-Ввод!$B$1)*273)/(1+0.00012*(760-Ввод!$B$1)),"")</f>
        <v/>
      </c>
      <c r="C46" s="15" t="str">
        <f>IF(ISNUMBER(A46),B46+0.00012*(760-Ввод!$B$1)*(273+B46)-A46,"")</f>
        <v/>
      </c>
      <c r="D46" s="13"/>
      <c r="E46" s="13"/>
      <c r="F46" s="14" t="str">
        <f>IF(AND(ISNUMBER(D46),ISNUMBER(E46)),(D46+E46)/2/Ввод!$G$1*100,"")</f>
        <v/>
      </c>
      <c r="G46" s="15" t="str">
        <f t="shared" si="7"/>
        <v/>
      </c>
      <c r="H46" s="16" t="str">
        <f t="shared" si="8"/>
        <v>—</v>
      </c>
    </row>
    <row r="47" spans="1:8" x14ac:dyDescent="0.25">
      <c r="A47" s="13"/>
      <c r="B47" s="14" t="str">
        <f>IF(ISNUMBER(A47),(A47-0.00012*(760-Ввод!$B$1)*273)/(1+0.00012*(760-Ввод!$B$1)),"")</f>
        <v/>
      </c>
      <c r="C47" s="15" t="str">
        <f>IF(ISNUMBER(A47),B47+0.00012*(760-Ввод!$B$1)*(273+B47)-A47,"")</f>
        <v/>
      </c>
      <c r="D47" s="13"/>
      <c r="E47" s="13"/>
      <c r="F47" s="14" t="str">
        <f>IF(AND(ISNUMBER(D47),ISNUMBER(E47)),(D47+E47)/2/Ввод!$G$1*100,"")</f>
        <v/>
      </c>
      <c r="G47" s="15" t="str">
        <f t="shared" si="7"/>
        <v/>
      </c>
      <c r="H47" s="16" t="str">
        <f t="shared" si="8"/>
        <v>—</v>
      </c>
    </row>
    <row r="48" spans="1:8" x14ac:dyDescent="0.25">
      <c r="A48" s="17" t="s">
        <v>80</v>
      </c>
    </row>
    <row r="50" spans="1:4" x14ac:dyDescent="0.25">
      <c r="A50" s="18" t="s">
        <v>81</v>
      </c>
    </row>
    <row r="51" spans="1:4" x14ac:dyDescent="0.25">
      <c r="A51" s="12" t="s">
        <v>82</v>
      </c>
      <c r="B51" s="12" t="s">
        <v>83</v>
      </c>
      <c r="C51" s="12" t="s">
        <v>84</v>
      </c>
      <c r="D51" s="12" t="s">
        <v>85</v>
      </c>
    </row>
    <row r="52" spans="1:4" x14ac:dyDescent="0.25">
      <c r="A52" s="19">
        <f t="array" ref="A52:D52">LINEST(F$2:F$22,A$2:A$22^{1,2,3})</f>
        <v>3.180084598848902E-4</v>
      </c>
      <c r="B52" s="19">
        <v>-5.0347410027043904E-2</v>
      </c>
      <c r="C52" s="19">
        <v>3.7569432474466802</v>
      </c>
      <c r="D52" s="15">
        <v>168.05307735742517</v>
      </c>
    </row>
    <row r="53" spans="1:4" x14ac:dyDescent="0.25">
      <c r="A53" s="12" t="s">
        <v>86</v>
      </c>
      <c r="B53" s="12" t="s">
        <v>87</v>
      </c>
      <c r="C53" s="12" t="s">
        <v>88</v>
      </c>
      <c r="D53" s="12" t="s">
        <v>89</v>
      </c>
    </row>
    <row r="54" spans="1:4" x14ac:dyDescent="0.25">
      <c r="A54" s="16">
        <f t="shared" ref="A54:A74" si="9">A2</f>
        <v>0</v>
      </c>
      <c r="B54" s="14">
        <f t="shared" ref="B54:B74" si="10">F2</f>
        <v>162.5</v>
      </c>
      <c r="C54" s="14">
        <f t="shared" ref="C54:C74" si="11">IF(ISNUMBER(F2),$A$52*A54^3+$B$52*A54^2+$C$52*A54+$D$52,"")</f>
        <v>168.05307735742517</v>
      </c>
      <c r="D54" s="14">
        <f t="shared" ref="D54:D74" si="12">IF(AND(ISNUMBER(F2),ISNUMBER(C54)),F2-C54,"")</f>
        <v>-5.5530773574251668</v>
      </c>
    </row>
    <row r="55" spans="1:4" x14ac:dyDescent="0.25">
      <c r="A55" s="16">
        <f t="shared" si="9"/>
        <v>5</v>
      </c>
      <c r="B55" s="14">
        <f t="shared" si="10"/>
        <v>191</v>
      </c>
      <c r="C55" s="14">
        <f t="shared" si="11"/>
        <v>185.61885940146809</v>
      </c>
      <c r="D55" s="14">
        <f t="shared" si="12"/>
        <v>5.3811405985319141</v>
      </c>
    </row>
    <row r="56" spans="1:4" x14ac:dyDescent="0.25">
      <c r="A56" s="16">
        <f t="shared" si="9"/>
        <v>10</v>
      </c>
      <c r="B56" s="14">
        <f t="shared" si="10"/>
        <v>204.5</v>
      </c>
      <c r="C56" s="14">
        <f t="shared" si="11"/>
        <v>200.90577728907246</v>
      </c>
      <c r="D56" s="14">
        <f t="shared" si="12"/>
        <v>3.5942227109275393</v>
      </c>
    </row>
    <row r="57" spans="1:4" x14ac:dyDescent="0.25">
      <c r="A57" s="16">
        <f t="shared" si="9"/>
        <v>15</v>
      </c>
      <c r="B57" s="14">
        <f t="shared" si="10"/>
        <v>210.5</v>
      </c>
      <c r="C57" s="14">
        <f t="shared" si="11"/>
        <v>214.15233736515199</v>
      </c>
      <c r="D57" s="14">
        <f t="shared" si="12"/>
        <v>-3.6523373651519933</v>
      </c>
    </row>
    <row r="58" spans="1:4" x14ac:dyDescent="0.25">
      <c r="A58" s="16">
        <f t="shared" si="9"/>
        <v>20</v>
      </c>
      <c r="B58" s="14">
        <f t="shared" si="10"/>
        <v>228</v>
      </c>
      <c r="C58" s="14">
        <f t="shared" si="11"/>
        <v>225.59704597462033</v>
      </c>
      <c r="D58" s="14">
        <f t="shared" si="12"/>
        <v>2.4029540253796711</v>
      </c>
    </row>
    <row r="59" spans="1:4" x14ac:dyDescent="0.25">
      <c r="A59" s="16">
        <f t="shared" si="9"/>
        <v>25</v>
      </c>
      <c r="B59" s="14">
        <f t="shared" si="10"/>
        <v>235.5</v>
      </c>
      <c r="C59" s="14">
        <f t="shared" si="11"/>
        <v>235.47840946239114</v>
      </c>
      <c r="D59" s="14">
        <f t="shared" si="12"/>
        <v>2.159053760885854E-2</v>
      </c>
    </row>
    <row r="60" spans="1:4" x14ac:dyDescent="0.25">
      <c r="A60" s="16">
        <f t="shared" si="9"/>
        <v>30</v>
      </c>
      <c r="B60" s="14">
        <f t="shared" si="10"/>
        <v>244.5</v>
      </c>
      <c r="C60" s="14">
        <f t="shared" si="11"/>
        <v>244.0349341733781</v>
      </c>
      <c r="D60" s="14">
        <f t="shared" si="12"/>
        <v>0.46506582662189544</v>
      </c>
    </row>
    <row r="61" spans="1:4" x14ac:dyDescent="0.25">
      <c r="A61" s="16">
        <f t="shared" si="9"/>
        <v>35</v>
      </c>
      <c r="B61" s="14">
        <f t="shared" si="10"/>
        <v>250.5</v>
      </c>
      <c r="C61" s="14">
        <f t="shared" si="11"/>
        <v>251.50512645249486</v>
      </c>
      <c r="D61" s="14">
        <f t="shared" si="12"/>
        <v>-1.0051264524948635</v>
      </c>
    </row>
    <row r="62" spans="1:4" x14ac:dyDescent="0.25">
      <c r="A62" s="16">
        <f t="shared" si="9"/>
        <v>40</v>
      </c>
      <c r="B62" s="14">
        <f t="shared" si="10"/>
        <v>257</v>
      </c>
      <c r="C62" s="14">
        <f t="shared" si="11"/>
        <v>258.12749264465509</v>
      </c>
      <c r="D62" s="14">
        <f t="shared" si="12"/>
        <v>-1.1274926446550921</v>
      </c>
    </row>
    <row r="63" spans="1:4" x14ac:dyDescent="0.25">
      <c r="A63" s="16">
        <f t="shared" si="9"/>
        <v>45</v>
      </c>
      <c r="B63" s="14">
        <f t="shared" si="10"/>
        <v>262.5</v>
      </c>
      <c r="C63" s="14">
        <f t="shared" si="11"/>
        <v>264.14053909477246</v>
      </c>
      <c r="D63" s="14">
        <f t="shared" si="12"/>
        <v>-1.6405390947724641</v>
      </c>
    </row>
    <row r="64" spans="1:4" x14ac:dyDescent="0.25">
      <c r="A64" s="16">
        <f t="shared" si="9"/>
        <v>50</v>
      </c>
      <c r="B64" s="14">
        <f t="shared" si="10"/>
        <v>269.5</v>
      </c>
      <c r="C64" s="14">
        <f t="shared" si="11"/>
        <v>269.78277214776068</v>
      </c>
      <c r="D64" s="14">
        <f t="shared" si="12"/>
        <v>-0.28277214776068149</v>
      </c>
    </row>
    <row r="65" spans="1:4" x14ac:dyDescent="0.25">
      <c r="A65" s="16">
        <f t="shared" si="9"/>
        <v>55</v>
      </c>
      <c r="B65" s="14">
        <f t="shared" si="10"/>
        <v>274.5</v>
      </c>
      <c r="C65" s="14">
        <f t="shared" si="11"/>
        <v>275.29269814853342</v>
      </c>
      <c r="D65" s="14">
        <f t="shared" si="12"/>
        <v>-0.79269814853341813</v>
      </c>
    </row>
    <row r="66" spans="1:4" x14ac:dyDescent="0.25">
      <c r="A66" s="16">
        <f t="shared" si="9"/>
        <v>60</v>
      </c>
      <c r="B66" s="14">
        <f t="shared" si="10"/>
        <v>281</v>
      </c>
      <c r="C66" s="14">
        <f t="shared" si="11"/>
        <v>280.90882344200423</v>
      </c>
      <c r="D66" s="14">
        <f t="shared" si="12"/>
        <v>9.1176557995765961E-2</v>
      </c>
    </row>
    <row r="67" spans="1:4" x14ac:dyDescent="0.25">
      <c r="A67" s="16">
        <f t="shared" si="9"/>
        <v>65</v>
      </c>
      <c r="B67" s="14">
        <f t="shared" si="10"/>
        <v>287.5</v>
      </c>
      <c r="C67" s="14">
        <f t="shared" si="11"/>
        <v>286.86965437308686</v>
      </c>
      <c r="D67" s="14">
        <f t="shared" si="12"/>
        <v>0.63034562691314022</v>
      </c>
    </row>
    <row r="68" spans="1:4" x14ac:dyDescent="0.25">
      <c r="A68" s="16">
        <f t="shared" si="9"/>
        <v>70</v>
      </c>
      <c r="B68" s="14">
        <f t="shared" si="10"/>
        <v>294.5</v>
      </c>
      <c r="C68" s="14">
        <f t="shared" si="11"/>
        <v>293.41369728669497</v>
      </c>
      <c r="D68" s="14">
        <f t="shared" si="12"/>
        <v>1.0863027133050309</v>
      </c>
    </row>
    <row r="69" spans="1:4" x14ac:dyDescent="0.25">
      <c r="A69" s="16">
        <f t="shared" si="9"/>
        <v>75</v>
      </c>
      <c r="B69" s="14">
        <f t="shared" si="10"/>
        <v>300.5</v>
      </c>
      <c r="C69" s="14">
        <f t="shared" si="11"/>
        <v>300.77945852774229</v>
      </c>
      <c r="D69" s="14">
        <f t="shared" si="12"/>
        <v>-0.27945852774229252</v>
      </c>
    </row>
    <row r="70" spans="1:4" x14ac:dyDescent="0.25">
      <c r="A70" s="16">
        <f t="shared" si="9"/>
        <v>80</v>
      </c>
      <c r="B70" s="14">
        <f t="shared" si="10"/>
        <v>310</v>
      </c>
      <c r="C70" s="14">
        <f t="shared" si="11"/>
        <v>309.20544444114239</v>
      </c>
      <c r="D70" s="14">
        <f t="shared" si="12"/>
        <v>0.79455555885760987</v>
      </c>
    </row>
    <row r="71" spans="1:4" x14ac:dyDescent="0.25">
      <c r="A71" s="16">
        <f t="shared" si="9"/>
        <v>85</v>
      </c>
      <c r="B71" s="14">
        <f t="shared" si="10"/>
        <v>318.5</v>
      </c>
      <c r="C71" s="14">
        <f t="shared" si="11"/>
        <v>318.93016137180899</v>
      </c>
      <c r="D71" s="14">
        <f t="shared" si="12"/>
        <v>-0.4301613718089925</v>
      </c>
    </row>
    <row r="72" spans="1:4" x14ac:dyDescent="0.25">
      <c r="A72" s="16">
        <f t="shared" si="9"/>
        <v>90</v>
      </c>
      <c r="B72" s="14">
        <f t="shared" si="10"/>
        <v>330.5</v>
      </c>
      <c r="C72" s="14">
        <f t="shared" si="11"/>
        <v>330.19211566465572</v>
      </c>
      <c r="D72" s="14">
        <f t="shared" si="12"/>
        <v>0.3078843353442835</v>
      </c>
    </row>
    <row r="73" spans="1:4" x14ac:dyDescent="0.25">
      <c r="A73" s="16">
        <f t="shared" si="9"/>
        <v>95</v>
      </c>
      <c r="B73" s="14">
        <f t="shared" si="10"/>
        <v>346</v>
      </c>
      <c r="C73" s="14">
        <f t="shared" si="11"/>
        <v>343.22981366459624</v>
      </c>
      <c r="D73" s="14">
        <f t="shared" si="12"/>
        <v>2.7701863354037641</v>
      </c>
    </row>
    <row r="74" spans="1:4" x14ac:dyDescent="0.25">
      <c r="A74" s="16">
        <f t="shared" si="9"/>
        <v>100</v>
      </c>
      <c r="B74" s="14">
        <f t="shared" si="10"/>
        <v>355.5</v>
      </c>
      <c r="C74" s="14">
        <f t="shared" si="11"/>
        <v>358.28176171654434</v>
      </c>
      <c r="D74" s="14">
        <f t="shared" si="12"/>
        <v>-2.781761716544338</v>
      </c>
    </row>
    <row r="75" spans="1:4" x14ac:dyDescent="0.25">
      <c r="A75" s="20" t="s">
        <v>90</v>
      </c>
      <c r="B75" s="21">
        <f>RSQ(B54:B74,C54:C74)</f>
        <v>0.99779043637475284</v>
      </c>
    </row>
    <row r="76" spans="1:4" x14ac:dyDescent="0.25">
      <c r="A76" s="17" t="s">
        <v>91</v>
      </c>
    </row>
    <row r="78" spans="1:4" x14ac:dyDescent="0.25">
      <c r="A78" s="18" t="s">
        <v>92</v>
      </c>
    </row>
    <row r="79" spans="1:4" x14ac:dyDescent="0.25">
      <c r="A79" s="12" t="s">
        <v>82</v>
      </c>
      <c r="B79" s="12" t="s">
        <v>83</v>
      </c>
      <c r="C79" s="12" t="s">
        <v>84</v>
      </c>
      <c r="D79" s="12" t="s">
        <v>85</v>
      </c>
    </row>
    <row r="80" spans="1:4" x14ac:dyDescent="0.25">
      <c r="A80" s="19" t="e">
        <f t="array" ref="A80:D80">LINEST(График!B29:B49,График!A29:A49^{1,2,3})</f>
        <v>#VALUE!</v>
      </c>
      <c r="B80" s="19" t="e">
        <v>#VALUE!</v>
      </c>
      <c r="C80" s="19" t="e">
        <v>#VALUE!</v>
      </c>
      <c r="D80" s="15" t="e">
        <v>#VALUE!</v>
      </c>
    </row>
    <row r="81" spans="1:4" x14ac:dyDescent="0.25">
      <c r="A81" s="12" t="s">
        <v>76</v>
      </c>
      <c r="B81" s="12" t="s">
        <v>93</v>
      </c>
      <c r="C81" s="12" t="s">
        <v>88</v>
      </c>
      <c r="D81" s="12" t="s">
        <v>94</v>
      </c>
    </row>
    <row r="82" spans="1:4" x14ac:dyDescent="0.25">
      <c r="A82" s="14">
        <f>График!A29</f>
        <v>4.5</v>
      </c>
      <c r="B82" s="14">
        <f>График!B29</f>
        <v>150</v>
      </c>
      <c r="C82" s="14" t="e">
        <f>IF(ISNUMBER(График!B29),$A$80*График!A29^3+$B$80*График!A29^2+$C$80*График!A29+$D$80,"")</f>
        <v>#VALUE!</v>
      </c>
      <c r="D82" s="14" t="str">
        <f>IF(AND(ISNUMBER(График!B29),ISNUMBER(C82)),График!B29-C82,"")</f>
        <v/>
      </c>
    </row>
    <row r="83" spans="1:4" x14ac:dyDescent="0.25">
      <c r="A83" s="14" t="str">
        <f>График!A30</f>
        <v/>
      </c>
      <c r="B83" s="14" t="str">
        <f>График!B30</f>
        <v/>
      </c>
      <c r="C83" s="14" t="str">
        <f>IF(ISNUMBER(График!B30),$A$80*График!A30^3+$B$80*График!A30^2+$C$80*График!A30+$D$80,"")</f>
        <v/>
      </c>
      <c r="D83" s="14" t="str">
        <f>IF(AND(ISNUMBER(График!B30),ISNUMBER(C83)),График!B30-C83,"")</f>
        <v/>
      </c>
    </row>
    <row r="84" spans="1:4" x14ac:dyDescent="0.25">
      <c r="A84" s="14" t="str">
        <f>График!A31</f>
        <v/>
      </c>
      <c r="B84" s="14" t="str">
        <f>График!B31</f>
        <v/>
      </c>
      <c r="C84" s="14" t="str">
        <f>IF(ISNUMBER(График!B31),$A$80*График!A31^3+$B$80*График!A31^2+$C$80*График!A31+$D$80,"")</f>
        <v/>
      </c>
      <c r="D84" s="14" t="str">
        <f>IF(AND(ISNUMBER(График!B31),ISNUMBER(C84)),График!B31-C84,"")</f>
        <v/>
      </c>
    </row>
    <row r="85" spans="1:4" x14ac:dyDescent="0.25">
      <c r="A85" s="14" t="str">
        <f>График!A32</f>
        <v/>
      </c>
      <c r="B85" s="14" t="str">
        <f>График!B32</f>
        <v/>
      </c>
      <c r="C85" s="14" t="str">
        <f>IF(ISNUMBER(График!B32),$A$80*График!A32^3+$B$80*График!A32^2+$C$80*График!A32+$D$80,"")</f>
        <v/>
      </c>
      <c r="D85" s="14" t="str">
        <f>IF(AND(ISNUMBER(График!B32),ISNUMBER(C85)),График!B32-C85,"")</f>
        <v/>
      </c>
    </row>
    <row r="86" spans="1:4" x14ac:dyDescent="0.25">
      <c r="A86" s="14" t="str">
        <f>График!A33</f>
        <v/>
      </c>
      <c r="B86" s="14" t="str">
        <f>График!B33</f>
        <v/>
      </c>
      <c r="C86" s="14" t="str">
        <f>IF(ISNUMBER(График!B33),$A$80*График!A33^3+$B$80*График!A33^2+$C$80*График!A33+$D$80,"")</f>
        <v/>
      </c>
      <c r="D86" s="14" t="str">
        <f>IF(AND(ISNUMBER(График!B33),ISNUMBER(C86)),График!B33-C86,"")</f>
        <v/>
      </c>
    </row>
    <row r="87" spans="1:4" x14ac:dyDescent="0.25">
      <c r="A87" s="14" t="str">
        <f>График!A34</f>
        <v/>
      </c>
      <c r="B87" s="14" t="str">
        <f>График!B34</f>
        <v/>
      </c>
      <c r="C87" s="14" t="str">
        <f>IF(ISNUMBER(График!B34),$A$80*График!A34^3+$B$80*График!A34^2+$C$80*График!A34+$D$80,"")</f>
        <v/>
      </c>
      <c r="D87" s="14" t="str">
        <f>IF(AND(ISNUMBER(График!B34),ISNUMBER(C87)),График!B34-C87,"")</f>
        <v/>
      </c>
    </row>
    <row r="88" spans="1:4" x14ac:dyDescent="0.25">
      <c r="A88" s="14" t="str">
        <f>График!A35</f>
        <v/>
      </c>
      <c r="B88" s="14" t="str">
        <f>График!B35</f>
        <v/>
      </c>
      <c r="C88" s="14" t="str">
        <f>IF(ISNUMBER(График!B35),$A$80*График!A35^3+$B$80*График!A35^2+$C$80*График!A35+$D$80,"")</f>
        <v/>
      </c>
      <c r="D88" s="14" t="str">
        <f>IF(AND(ISNUMBER(График!B35),ISNUMBER(C88)),График!B35-C88,"")</f>
        <v/>
      </c>
    </row>
    <row r="89" spans="1:4" x14ac:dyDescent="0.25">
      <c r="A89" s="14" t="str">
        <f>График!A36</f>
        <v/>
      </c>
      <c r="B89" s="14" t="str">
        <f>График!B36</f>
        <v/>
      </c>
      <c r="C89" s="14" t="str">
        <f>IF(ISNUMBER(График!B36),$A$80*График!A36^3+$B$80*График!A36^2+$C$80*График!A36+$D$80,"")</f>
        <v/>
      </c>
      <c r="D89" s="14" t="str">
        <f>IF(AND(ISNUMBER(График!B36),ISNUMBER(C89)),График!B36-C89,"")</f>
        <v/>
      </c>
    </row>
    <row r="90" spans="1:4" x14ac:dyDescent="0.25">
      <c r="A90" s="14" t="str">
        <f>График!A37</f>
        <v/>
      </c>
      <c r="B90" s="14" t="str">
        <f>График!B37</f>
        <v/>
      </c>
      <c r="C90" s="14" t="str">
        <f>IF(ISNUMBER(График!B37),$A$80*График!A37^3+$B$80*График!A37^2+$C$80*График!A37+$D$80,"")</f>
        <v/>
      </c>
      <c r="D90" s="14" t="str">
        <f>IF(AND(ISNUMBER(График!B37),ISNUMBER(C90)),График!B37-C90,"")</f>
        <v/>
      </c>
    </row>
    <row r="91" spans="1:4" x14ac:dyDescent="0.25">
      <c r="A91" s="14" t="str">
        <f>График!A38</f>
        <v/>
      </c>
      <c r="B91" s="14" t="str">
        <f>График!B38</f>
        <v/>
      </c>
      <c r="C91" s="14" t="str">
        <f>IF(ISNUMBER(График!B38),$A$80*График!A38^3+$B$80*График!A38^2+$C$80*График!A38+$D$80,"")</f>
        <v/>
      </c>
      <c r="D91" s="14" t="str">
        <f>IF(AND(ISNUMBER(График!B38),ISNUMBER(C91)),График!B38-C91,"")</f>
        <v/>
      </c>
    </row>
    <row r="92" spans="1:4" x14ac:dyDescent="0.25">
      <c r="A92" s="14" t="str">
        <f>График!A39</f>
        <v/>
      </c>
      <c r="B92" s="14" t="str">
        <f>График!B39</f>
        <v/>
      </c>
      <c r="C92" s="14" t="str">
        <f>IF(ISNUMBER(График!B39),$A$80*График!A39^3+$B$80*График!A39^2+$C$80*График!A39+$D$80,"")</f>
        <v/>
      </c>
      <c r="D92" s="14" t="str">
        <f>IF(AND(ISNUMBER(График!B39),ISNUMBER(C92)),График!B39-C92,"")</f>
        <v/>
      </c>
    </row>
    <row r="93" spans="1:4" x14ac:dyDescent="0.25">
      <c r="A93" s="14" t="str">
        <f>График!A40</f>
        <v/>
      </c>
      <c r="B93" s="14" t="str">
        <f>График!B40</f>
        <v/>
      </c>
      <c r="C93" s="14" t="str">
        <f>IF(ISNUMBER(График!B40),$A$80*График!A40^3+$B$80*График!A40^2+$C$80*График!A40+$D$80,"")</f>
        <v/>
      </c>
      <c r="D93" s="14" t="str">
        <f>IF(AND(ISNUMBER(График!B40),ISNUMBER(C93)),График!B40-C93,"")</f>
        <v/>
      </c>
    </row>
    <row r="94" spans="1:4" x14ac:dyDescent="0.25">
      <c r="A94" s="14" t="str">
        <f>График!A41</f>
        <v/>
      </c>
      <c r="B94" s="14" t="str">
        <f>График!B41</f>
        <v/>
      </c>
      <c r="C94" s="14" t="str">
        <f>IF(ISNUMBER(График!B41),$A$80*График!A41^3+$B$80*График!A41^2+$C$80*График!A41+$D$80,"")</f>
        <v/>
      </c>
      <c r="D94" s="14" t="str">
        <f>IF(AND(ISNUMBER(График!B41),ISNUMBER(C94)),График!B41-C94,"")</f>
        <v/>
      </c>
    </row>
    <row r="95" spans="1:4" x14ac:dyDescent="0.25">
      <c r="A95" s="14" t="str">
        <f>График!A42</f>
        <v/>
      </c>
      <c r="B95" s="14" t="str">
        <f>График!B42</f>
        <v/>
      </c>
      <c r="C95" s="14" t="str">
        <f>IF(ISNUMBER(График!B42),$A$80*График!A42^3+$B$80*График!A42^2+$C$80*График!A42+$D$80,"")</f>
        <v/>
      </c>
      <c r="D95" s="14" t="str">
        <f>IF(AND(ISNUMBER(График!B42),ISNUMBER(C95)),График!B42-C95,"")</f>
        <v/>
      </c>
    </row>
    <row r="96" spans="1:4" x14ac:dyDescent="0.25">
      <c r="A96" s="14" t="str">
        <f>График!A43</f>
        <v/>
      </c>
      <c r="B96" s="14" t="str">
        <f>График!B43</f>
        <v/>
      </c>
      <c r="C96" s="14" t="str">
        <f>IF(ISNUMBER(График!B43),$A$80*График!A43^3+$B$80*График!A43^2+$C$80*График!A43+$D$80,"")</f>
        <v/>
      </c>
      <c r="D96" s="14" t="str">
        <f>IF(AND(ISNUMBER(График!B43),ISNUMBER(C96)),График!B43-C96,"")</f>
        <v/>
      </c>
    </row>
    <row r="97" spans="1:4" x14ac:dyDescent="0.25">
      <c r="A97" s="14" t="str">
        <f>График!A44</f>
        <v/>
      </c>
      <c r="B97" s="14" t="str">
        <f>График!B44</f>
        <v/>
      </c>
      <c r="C97" s="14" t="str">
        <f>IF(ISNUMBER(График!B44),$A$80*График!A44^3+$B$80*График!A44^2+$C$80*График!A44+$D$80,"")</f>
        <v/>
      </c>
      <c r="D97" s="14" t="str">
        <f>IF(AND(ISNUMBER(График!B44),ISNUMBER(C97)),График!B44-C97,"")</f>
        <v/>
      </c>
    </row>
    <row r="98" spans="1:4" x14ac:dyDescent="0.25">
      <c r="A98" s="14" t="str">
        <f>График!A45</f>
        <v/>
      </c>
      <c r="B98" s="14" t="str">
        <f>График!B45</f>
        <v/>
      </c>
      <c r="C98" s="14" t="str">
        <f>IF(ISNUMBER(График!B45),$A$80*График!A45^3+$B$80*График!A45^2+$C$80*График!A45+$D$80,"")</f>
        <v/>
      </c>
      <c r="D98" s="14" t="str">
        <f>IF(AND(ISNUMBER(График!B45),ISNUMBER(C98)),График!B45-C98,"")</f>
        <v/>
      </c>
    </row>
    <row r="99" spans="1:4" x14ac:dyDescent="0.25">
      <c r="A99" s="14" t="str">
        <f>График!A46</f>
        <v/>
      </c>
      <c r="B99" s="14" t="str">
        <f>График!B46</f>
        <v/>
      </c>
      <c r="C99" s="14" t="str">
        <f>IF(ISNUMBER(График!B46),$A$80*График!A46^3+$B$80*График!A46^2+$C$80*График!A46+$D$80,"")</f>
        <v/>
      </c>
      <c r="D99" s="14" t="str">
        <f>IF(AND(ISNUMBER(График!B46),ISNUMBER(C99)),График!B46-C99,"")</f>
        <v/>
      </c>
    </row>
    <row r="100" spans="1:4" x14ac:dyDescent="0.25">
      <c r="A100" s="14" t="str">
        <f>График!A47</f>
        <v/>
      </c>
      <c r="B100" s="14" t="str">
        <f>График!B47</f>
        <v/>
      </c>
      <c r="C100" s="14" t="str">
        <f>IF(ISNUMBER(График!B47),$A$80*График!A47^3+$B$80*График!A47^2+$C$80*График!A47+$D$80,"")</f>
        <v/>
      </c>
      <c r="D100" s="14" t="str">
        <f>IF(AND(ISNUMBER(График!B47),ISNUMBER(C100)),График!B47-C100,"")</f>
        <v/>
      </c>
    </row>
    <row r="101" spans="1:4" x14ac:dyDescent="0.25">
      <c r="A101" s="14" t="str">
        <f>График!A48</f>
        <v/>
      </c>
      <c r="B101" s="14" t="str">
        <f>График!B48</f>
        <v/>
      </c>
      <c r="C101" s="14" t="str">
        <f>IF(ISNUMBER(График!B48),$A$80*График!A48^3+$B$80*График!A48^2+$C$80*График!A48+$D$80,"")</f>
        <v/>
      </c>
      <c r="D101" s="14" t="str">
        <f>IF(AND(ISNUMBER(График!B48),ISNUMBER(C101)),График!B48-C101,"")</f>
        <v/>
      </c>
    </row>
    <row r="102" spans="1:4" x14ac:dyDescent="0.25">
      <c r="A102" s="14" t="str">
        <f>График!A49</f>
        <v/>
      </c>
      <c r="B102" s="14" t="str">
        <f>График!B49</f>
        <v/>
      </c>
      <c r="C102" s="14" t="str">
        <f>IF(ISNUMBER(График!B49),$A$80*График!A49^3+$B$80*График!A49^2+$C$80*График!A49+$D$80,"")</f>
        <v/>
      </c>
      <c r="D102" s="14" t="str">
        <f>IF(AND(ISNUMBER(График!B49),ISNUMBER(C102)),График!B49-C102,"")</f>
        <v/>
      </c>
    </row>
    <row r="103" spans="1:4" x14ac:dyDescent="0.25">
      <c r="A103" s="20" t="s">
        <v>95</v>
      </c>
      <c r="B103" s="21" t="e">
        <f>RSQ(B82:B102,C82:C102)</f>
        <v>#VALUE!</v>
      </c>
    </row>
    <row r="104" spans="1:4" x14ac:dyDescent="0.25">
      <c r="A104" s="17" t="s">
        <v>96</v>
      </c>
    </row>
  </sheetData>
  <conditionalFormatting sqref="H2:H21">
    <cfRule type="cellIs" dxfId="0" priority="1" operator="greaterThan">
      <formula>I2</formula>
    </cfRule>
  </conditionalFormatting>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workbookViewId="0"/>
  </sheetViews>
  <sheetFormatPr defaultRowHeight="15" x14ac:dyDescent="0.25"/>
  <cols>
    <col min="1" max="1" width="22" customWidth="1"/>
    <col min="2" max="4" width="12" customWidth="1"/>
  </cols>
  <sheetData>
    <row r="1" spans="1:7" x14ac:dyDescent="0.25">
      <c r="A1" s="1" t="s">
        <v>97</v>
      </c>
    </row>
    <row r="2" spans="1:7" x14ac:dyDescent="0.25">
      <c r="A2" s="3" t="s">
        <v>98</v>
      </c>
      <c r="B2" s="6">
        <f>Ввод!B1</f>
        <v>755</v>
      </c>
    </row>
    <row r="3" spans="1:7" x14ac:dyDescent="0.25">
      <c r="A3" s="3" t="s">
        <v>26</v>
      </c>
      <c r="B3" s="6">
        <f>Ввод!G1</f>
        <v>100</v>
      </c>
    </row>
    <row r="5" spans="1:7" x14ac:dyDescent="0.25">
      <c r="A5" s="1" t="s">
        <v>27</v>
      </c>
      <c r="B5" s="1" t="s">
        <v>55</v>
      </c>
      <c r="C5" s="1" t="s">
        <v>56</v>
      </c>
      <c r="D5" s="1" t="s">
        <v>59</v>
      </c>
      <c r="E5" s="1" t="s">
        <v>62</v>
      </c>
      <c r="F5" s="1" t="s">
        <v>63</v>
      </c>
      <c r="G5" s="1" t="s">
        <v>67</v>
      </c>
    </row>
    <row r="6" spans="1:7" x14ac:dyDescent="0.25">
      <c r="A6" s="6">
        <f>Расчёт!A2</f>
        <v>0</v>
      </c>
      <c r="B6" s="6">
        <f>Расчёт!B2</f>
        <v>161.75</v>
      </c>
      <c r="C6" s="6">
        <f>Расчёт!C2</f>
        <v>161.75</v>
      </c>
      <c r="D6" s="6">
        <f>Расчёт!F2</f>
        <v>162.5</v>
      </c>
      <c r="E6" s="6">
        <f>Расчёт!I2</f>
        <v>2.9950000000000001</v>
      </c>
      <c r="F6" s="6">
        <f>Расчёт!J2</f>
        <v>8.1009999999999991</v>
      </c>
      <c r="G6" s="6" t="str">
        <f>Расчёт!N2</f>
        <v>OK</v>
      </c>
    </row>
    <row r="7" spans="1:7" x14ac:dyDescent="0.25">
      <c r="A7" s="6">
        <f>Расчёт!A3</f>
        <v>5</v>
      </c>
      <c r="B7" s="6">
        <f>Расчёт!B3</f>
        <v>190.5</v>
      </c>
      <c r="C7" s="6">
        <f>Расчёт!C3</f>
        <v>190.5</v>
      </c>
      <c r="D7" s="6">
        <f>Расчёт!F3</f>
        <v>191</v>
      </c>
      <c r="E7" s="6">
        <f>Расчёт!I3</f>
        <v>2.722</v>
      </c>
      <c r="F7" s="6">
        <f>Расчёт!J3</f>
        <v>7.3860000000000001</v>
      </c>
      <c r="G7" s="6" t="str">
        <f>Расчёт!N3</f>
        <v>OK</v>
      </c>
    </row>
    <row r="8" spans="1:7" x14ac:dyDescent="0.25">
      <c r="A8" s="6">
        <f>Расчёт!A4</f>
        <v>10</v>
      </c>
      <c r="B8" s="6">
        <f>Расчёт!B4</f>
        <v>203.75</v>
      </c>
      <c r="C8" s="6">
        <f>Расчёт!C4</f>
        <v>203.75</v>
      </c>
      <c r="D8" s="6">
        <f>Расчёт!F4</f>
        <v>204.5</v>
      </c>
      <c r="E8" s="6">
        <f>Расчёт!I4</f>
        <v>1.7995000000000001</v>
      </c>
      <c r="F8" s="6">
        <f>Расчёт!J4</f>
        <v>4.3935000000000004</v>
      </c>
      <c r="G8" s="6" t="str">
        <f>Расчёт!N4</f>
        <v>OK</v>
      </c>
    </row>
    <row r="9" spans="1:7" x14ac:dyDescent="0.25">
      <c r="A9" s="6">
        <f>Расчёт!A5</f>
        <v>15</v>
      </c>
      <c r="B9" s="6">
        <f>Расчёт!B5</f>
        <v>210</v>
      </c>
      <c r="C9" s="6">
        <f>Расчёт!C5</f>
        <v>210</v>
      </c>
      <c r="D9" s="6">
        <f>Расчёт!F5</f>
        <v>210.5</v>
      </c>
      <c r="E9" s="6">
        <f>Расчёт!I5</f>
        <v>1.9635</v>
      </c>
      <c r="F9" s="6">
        <f>Расчёт!J5</f>
        <v>4.9255000000000004</v>
      </c>
      <c r="G9" s="6" t="str">
        <f>Расчёт!N5</f>
        <v>OK</v>
      </c>
    </row>
    <row r="10" spans="1:7" x14ac:dyDescent="0.25">
      <c r="A10" s="6">
        <f>Расчёт!A6</f>
        <v>20</v>
      </c>
      <c r="B10" s="6">
        <f>Расчёт!B6</f>
        <v>227.5</v>
      </c>
      <c r="C10" s="6">
        <f>Расчёт!C6</f>
        <v>227.5</v>
      </c>
      <c r="D10" s="6">
        <f>Расчёт!F6</f>
        <v>228</v>
      </c>
      <c r="E10" s="6">
        <f>Расчёт!I6</f>
        <v>2.0249999999999999</v>
      </c>
      <c r="F10" s="6">
        <f>Расчёт!J6</f>
        <v>5.125</v>
      </c>
      <c r="G10" s="6" t="str">
        <f>Расчёт!N6</f>
        <v>OK</v>
      </c>
    </row>
    <row r="11" spans="1:7" x14ac:dyDescent="0.25">
      <c r="A11" s="6">
        <f>Расчёт!A7</f>
        <v>25</v>
      </c>
      <c r="B11" s="6">
        <f>Расчёт!B7</f>
        <v>235</v>
      </c>
      <c r="C11" s="6">
        <f>Расчёт!C7</f>
        <v>235</v>
      </c>
      <c r="D11" s="6">
        <f>Расчёт!F7</f>
        <v>235.5</v>
      </c>
      <c r="E11" s="6">
        <f>Расчёт!I7</f>
        <v>1.6764999999999999</v>
      </c>
      <c r="F11" s="6">
        <f>Расчёт!J7</f>
        <v>3.9945000000000004</v>
      </c>
      <c r="G11" s="6" t="str">
        <f>Расчёт!N7</f>
        <v>OK</v>
      </c>
    </row>
    <row r="12" spans="1:7" x14ac:dyDescent="0.25">
      <c r="A12" s="6">
        <f>Расчёт!A8</f>
        <v>30</v>
      </c>
      <c r="B12" s="6">
        <f>Расчёт!B8</f>
        <v>244</v>
      </c>
      <c r="C12" s="6">
        <f>Расчёт!C8</f>
        <v>244</v>
      </c>
      <c r="D12" s="6">
        <f>Расчёт!F8</f>
        <v>244.5</v>
      </c>
      <c r="E12" s="6">
        <f>Расчёт!I8</f>
        <v>1.615</v>
      </c>
      <c r="F12" s="6">
        <f>Расчёт!J8</f>
        <v>3.7949999999999999</v>
      </c>
      <c r="G12" s="6" t="str">
        <f>Расчёт!N8</f>
        <v>OK</v>
      </c>
    </row>
    <row r="13" spans="1:7" x14ac:dyDescent="0.25">
      <c r="A13" s="6">
        <f>Расчёт!A9</f>
        <v>35</v>
      </c>
      <c r="B13" s="6">
        <f>Расчёт!B9</f>
        <v>250</v>
      </c>
      <c r="C13" s="6">
        <f>Расчёт!C9</f>
        <v>250</v>
      </c>
      <c r="D13" s="6">
        <f>Расчёт!F9</f>
        <v>250.5</v>
      </c>
      <c r="E13" s="6">
        <f>Расчёт!I9</f>
        <v>1.5125</v>
      </c>
      <c r="F13" s="6">
        <f>Расчёт!J9</f>
        <v>3.4625000000000004</v>
      </c>
      <c r="G13" s="6" t="str">
        <f>Расчёт!N9</f>
        <v>OK</v>
      </c>
    </row>
    <row r="14" spans="1:7" x14ac:dyDescent="0.25">
      <c r="A14" s="6">
        <f>Расчёт!A10</f>
        <v>40</v>
      </c>
      <c r="B14" s="6">
        <f>Расчёт!B10</f>
        <v>256.5</v>
      </c>
      <c r="C14" s="6">
        <f>Расчёт!C10</f>
        <v>256.5</v>
      </c>
      <c r="D14" s="6">
        <f>Расчёт!F10</f>
        <v>257</v>
      </c>
      <c r="E14" s="6">
        <f>Расчёт!I10</f>
        <v>1.492</v>
      </c>
      <c r="F14" s="6">
        <f>Расчёт!J10</f>
        <v>3.3959999999999999</v>
      </c>
      <c r="G14" s="6" t="str">
        <f>Расчёт!N10</f>
        <v>OK</v>
      </c>
    </row>
    <row r="15" spans="1:7" x14ac:dyDescent="0.25">
      <c r="A15" s="6">
        <f>Расчёт!A11</f>
        <v>45</v>
      </c>
      <c r="B15" s="6">
        <f>Расчёт!B11</f>
        <v>262</v>
      </c>
      <c r="C15" s="6">
        <f>Расчёт!C11</f>
        <v>262</v>
      </c>
      <c r="D15" s="6">
        <f>Расчёт!F11</f>
        <v>262.5</v>
      </c>
      <c r="E15" s="6">
        <f>Расчёт!I11</f>
        <v>1.5125</v>
      </c>
      <c r="F15" s="6">
        <f>Расчёт!J11</f>
        <v>3.4625000000000004</v>
      </c>
      <c r="G15" s="6" t="str">
        <f>Расчёт!N11</f>
        <v>OK</v>
      </c>
    </row>
    <row r="16" spans="1:7" x14ac:dyDescent="0.25">
      <c r="A16" s="6">
        <f>Расчёт!A12</f>
        <v>50</v>
      </c>
      <c r="B16" s="6">
        <f>Расчёт!B12</f>
        <v>268.75</v>
      </c>
      <c r="C16" s="6">
        <f>Расчёт!C12</f>
        <v>268.75</v>
      </c>
      <c r="D16" s="6">
        <f>Расчёт!F12</f>
        <v>269.5</v>
      </c>
      <c r="E16" s="6">
        <f>Расчёт!I12</f>
        <v>1.492</v>
      </c>
      <c r="F16" s="6">
        <f>Расчёт!J12</f>
        <v>3.3959999999999999</v>
      </c>
      <c r="G16" s="6" t="str">
        <f>Расчёт!N12</f>
        <v>OK</v>
      </c>
    </row>
    <row r="17" spans="1:7" x14ac:dyDescent="0.25">
      <c r="A17" s="6">
        <f>Расчёт!A13</f>
        <v>55</v>
      </c>
      <c r="B17" s="6">
        <f>Расчёт!B13</f>
        <v>274</v>
      </c>
      <c r="C17" s="6">
        <f>Расчёт!C13</f>
        <v>274</v>
      </c>
      <c r="D17" s="6">
        <f>Расчёт!F13</f>
        <v>274.5</v>
      </c>
      <c r="E17" s="6">
        <f>Расчёт!I13</f>
        <v>1.4714999999999998</v>
      </c>
      <c r="F17" s="6">
        <f>Расчёт!J13</f>
        <v>3.3294999999999999</v>
      </c>
      <c r="G17" s="6" t="str">
        <f>Расчёт!N13</f>
        <v>OK</v>
      </c>
    </row>
    <row r="18" spans="1:7" x14ac:dyDescent="0.25">
      <c r="A18" s="6">
        <f>Расчёт!A14</f>
        <v>60</v>
      </c>
      <c r="B18" s="6">
        <f>Расчёт!B14</f>
        <v>280.5</v>
      </c>
      <c r="C18" s="6">
        <f>Расчёт!C14</f>
        <v>280.5</v>
      </c>
      <c r="D18" s="6">
        <f>Расчёт!F14</f>
        <v>281</v>
      </c>
      <c r="E18" s="6">
        <f>Расчёт!I14</f>
        <v>1.5329999999999999</v>
      </c>
      <c r="F18" s="6">
        <f>Расчёт!J14</f>
        <v>3.5289999999999999</v>
      </c>
      <c r="G18" s="6" t="str">
        <f>Расчёт!N14</f>
        <v>OK</v>
      </c>
    </row>
    <row r="19" spans="1:7" x14ac:dyDescent="0.25">
      <c r="A19" s="6">
        <f>Расчёт!A15</f>
        <v>65</v>
      </c>
      <c r="B19" s="6">
        <f>Расчёт!B15</f>
        <v>287</v>
      </c>
      <c r="C19" s="6">
        <f>Расчёт!C15</f>
        <v>287</v>
      </c>
      <c r="D19" s="6">
        <f>Расчёт!F15</f>
        <v>287.5</v>
      </c>
      <c r="E19" s="6">
        <f>Расчёт!I15</f>
        <v>1.5535000000000001</v>
      </c>
      <c r="F19" s="6">
        <f>Расчёт!J15</f>
        <v>3.5955000000000004</v>
      </c>
      <c r="G19" s="6" t="str">
        <f>Расчёт!N15</f>
        <v>OK</v>
      </c>
    </row>
    <row r="20" spans="1:7" x14ac:dyDescent="0.25">
      <c r="A20" s="6">
        <f>Расчёт!A16</f>
        <v>70</v>
      </c>
      <c r="B20" s="6">
        <f>Расчёт!B16</f>
        <v>293.75</v>
      </c>
      <c r="C20" s="6">
        <f>Расчёт!C16</f>
        <v>293.75</v>
      </c>
      <c r="D20" s="6">
        <f>Расчёт!F16</f>
        <v>294.5</v>
      </c>
      <c r="E20" s="6">
        <f>Расчёт!I16</f>
        <v>1.5329999999999999</v>
      </c>
      <c r="F20" s="6">
        <f>Расчёт!J16</f>
        <v>3.5289999999999999</v>
      </c>
      <c r="G20" s="6" t="str">
        <f>Расчёт!N16</f>
        <v>OK</v>
      </c>
    </row>
    <row r="21" spans="1:7" x14ac:dyDescent="0.25">
      <c r="A21" s="6">
        <f>Расчёт!A17</f>
        <v>75</v>
      </c>
      <c r="B21" s="6">
        <f>Расчёт!B17</f>
        <v>300</v>
      </c>
      <c r="C21" s="6">
        <f>Расчёт!C17</f>
        <v>300</v>
      </c>
      <c r="D21" s="6">
        <f>Расчёт!F17</f>
        <v>300.5</v>
      </c>
      <c r="E21" s="6">
        <f>Расчёт!I17</f>
        <v>1.6355</v>
      </c>
      <c r="F21" s="6">
        <f>Расчёт!J17</f>
        <v>3.8615000000000004</v>
      </c>
      <c r="G21" s="6" t="str">
        <f>Расчёт!N17</f>
        <v>OK</v>
      </c>
    </row>
    <row r="22" spans="1:7" x14ac:dyDescent="0.25">
      <c r="A22" s="6">
        <f>Расчёт!A18</f>
        <v>80</v>
      </c>
      <c r="B22" s="6">
        <f>Расчёт!B18</f>
        <v>309.25</v>
      </c>
      <c r="C22" s="6">
        <f>Расчёт!C18</f>
        <v>309.25</v>
      </c>
      <c r="D22" s="6">
        <f>Расчёт!F18</f>
        <v>310</v>
      </c>
      <c r="E22" s="6">
        <f>Расчёт!I18</f>
        <v>1.738</v>
      </c>
      <c r="F22" s="6">
        <f>Расчёт!J18</f>
        <v>4.194</v>
      </c>
      <c r="G22" s="6" t="str">
        <f>Расчёт!N18</f>
        <v>OK</v>
      </c>
    </row>
    <row r="23" spans="1:7" x14ac:dyDescent="0.25">
      <c r="A23" s="6">
        <f>Расчёт!A19</f>
        <v>85</v>
      </c>
      <c r="B23" s="6">
        <f>Расчёт!B19</f>
        <v>318</v>
      </c>
      <c r="C23" s="6">
        <f>Расчёт!C19</f>
        <v>318</v>
      </c>
      <c r="D23" s="6">
        <f>Расчёт!F19</f>
        <v>318.5</v>
      </c>
      <c r="E23" s="6">
        <f>Расчёт!I19</f>
        <v>1.8405</v>
      </c>
      <c r="F23" s="6">
        <f>Расчёт!J19</f>
        <v>4.5264999999999995</v>
      </c>
      <c r="G23" s="6" t="str">
        <f>Расчёт!N19</f>
        <v>OK</v>
      </c>
    </row>
    <row r="24" spans="1:7" x14ac:dyDescent="0.25">
      <c r="A24" s="6">
        <f>Расчёт!A20</f>
        <v>90</v>
      </c>
      <c r="B24" s="6">
        <f>Расчёт!B20</f>
        <v>329.75</v>
      </c>
      <c r="C24" s="6">
        <f>Расчёт!C20</f>
        <v>329.75</v>
      </c>
      <c r="D24" s="6">
        <f>Расчёт!F20</f>
        <v>330.5</v>
      </c>
      <c r="E24" s="6">
        <f>Расчёт!I20</f>
        <v>2.1274999999999999</v>
      </c>
      <c r="F24" s="6">
        <f>Расчёт!J20</f>
        <v>5.4575000000000005</v>
      </c>
      <c r="G24" s="6" t="str">
        <f>Расчёт!N20</f>
        <v>OK</v>
      </c>
    </row>
    <row r="25" spans="1:7" x14ac:dyDescent="0.25">
      <c r="A25" s="6">
        <f>Расчёт!A21</f>
        <v>95</v>
      </c>
      <c r="B25" s="6">
        <f>Расчёт!B21</f>
        <v>345.25</v>
      </c>
      <c r="C25" s="6">
        <f>Расчёт!C21</f>
        <v>345.25</v>
      </c>
      <c r="D25" s="6">
        <f>Расчёт!F21</f>
        <v>346</v>
      </c>
      <c r="E25" s="6">
        <f>Расчёт!I21</f>
        <v>2.2709999999999999</v>
      </c>
      <c r="F25" s="6">
        <f>Расчёт!J21</f>
        <v>5.923</v>
      </c>
      <c r="G25" s="6" t="str">
        <f>Расчёт!N21</f>
        <v>OK</v>
      </c>
    </row>
    <row r="26" spans="1:7" x14ac:dyDescent="0.25">
      <c r="A26" s="6">
        <f>Расчёт!A22</f>
        <v>100</v>
      </c>
      <c r="B26" s="6">
        <f>Расчёт!B22</f>
        <v>355</v>
      </c>
      <c r="C26" s="6">
        <f>Расчёт!C22</f>
        <v>355</v>
      </c>
      <c r="D26" s="6">
        <f>Расчёт!F22</f>
        <v>355.5</v>
      </c>
      <c r="E26" s="6">
        <f>Расчёт!I22</f>
        <v>1.3839999999999999</v>
      </c>
      <c r="F26" s="6">
        <f>Расчёт!J22</f>
        <v>3.8980000000000001</v>
      </c>
      <c r="G26" s="6" t="str">
        <f>Расчёт!N22</f>
        <v>OK</v>
      </c>
    </row>
    <row r="28" spans="1:7" x14ac:dyDescent="0.25">
      <c r="A28" s="9" t="s">
        <v>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9"/>
  <sheetViews>
    <sheetView tabSelected="1" topLeftCell="A37" workbookViewId="0"/>
  </sheetViews>
  <sheetFormatPr defaultRowHeight="15" x14ac:dyDescent="0.25"/>
  <sheetData>
    <row r="1" spans="1:7" x14ac:dyDescent="0.25">
      <c r="A1" t="s">
        <v>100</v>
      </c>
    </row>
    <row r="3" spans="1:7" x14ac:dyDescent="0.25">
      <c r="A3" t="s">
        <v>27</v>
      </c>
      <c r="B3" t="s">
        <v>101</v>
      </c>
      <c r="C3" t="s">
        <v>102</v>
      </c>
      <c r="E3" t="s">
        <v>103</v>
      </c>
      <c r="F3" t="s">
        <v>93</v>
      </c>
      <c r="G3" t="s">
        <v>104</v>
      </c>
    </row>
    <row r="4" spans="1:7" x14ac:dyDescent="0.25">
      <c r="A4">
        <f>Расчёт!A2</f>
        <v>0</v>
      </c>
      <c r="B4">
        <f>Расчёт!F2</f>
        <v>162.5</v>
      </c>
      <c r="C4">
        <f>Расчёт!C54</f>
        <v>168.05307735742517</v>
      </c>
      <c r="E4">
        <f>Расчёт!F27</f>
        <v>4.5</v>
      </c>
      <c r="F4">
        <f>Расчёт!A27</f>
        <v>150</v>
      </c>
      <c r="G4" t="str">
        <f>Расчёт!C81</f>
        <v>T_полином, °C</v>
      </c>
    </row>
    <row r="5" spans="1:7" x14ac:dyDescent="0.25">
      <c r="A5">
        <f>Расчёт!A3</f>
        <v>5</v>
      </c>
      <c r="B5">
        <f>Расчёт!F3</f>
        <v>191</v>
      </c>
      <c r="C5">
        <f>Расчёт!C55</f>
        <v>185.61885940146809</v>
      </c>
      <c r="E5">
        <f>Расчёт!F28</f>
        <v>6.5</v>
      </c>
      <c r="F5">
        <f>Расчёт!A28</f>
        <v>200</v>
      </c>
      <c r="G5" t="e">
        <f>Расчёт!C82</f>
        <v>#VALUE!</v>
      </c>
    </row>
    <row r="6" spans="1:7" x14ac:dyDescent="0.25">
      <c r="A6">
        <f>Расчёт!A4</f>
        <v>10</v>
      </c>
      <c r="B6">
        <f>Расчёт!F4</f>
        <v>204.5</v>
      </c>
      <c r="C6">
        <f>Расчёт!C56</f>
        <v>200.90577728907246</v>
      </c>
      <c r="E6">
        <f>Расчёт!F29</f>
        <v>9.5</v>
      </c>
      <c r="F6">
        <f>Расчёт!A29</f>
        <v>250</v>
      </c>
      <c r="G6" t="str">
        <f>Расчёт!C83</f>
        <v/>
      </c>
    </row>
    <row r="7" spans="1:7" x14ac:dyDescent="0.25">
      <c r="A7">
        <f>Расчёт!A5</f>
        <v>15</v>
      </c>
      <c r="B7">
        <f>Расчёт!F5</f>
        <v>210.5</v>
      </c>
      <c r="C7">
        <f>Расчёт!C57</f>
        <v>214.15233736515199</v>
      </c>
      <c r="E7">
        <f>Расчёт!F30</f>
        <v>13.5</v>
      </c>
      <c r="F7">
        <f>Расчёт!A30</f>
        <v>300</v>
      </c>
      <c r="G7" t="str">
        <f>Расчёт!C84</f>
        <v/>
      </c>
    </row>
    <row r="8" spans="1:7" x14ac:dyDescent="0.25">
      <c r="A8">
        <f>Расчёт!A6</f>
        <v>20</v>
      </c>
      <c r="B8">
        <f>Расчёт!F6</f>
        <v>228</v>
      </c>
      <c r="C8">
        <f>Расчёт!C58</f>
        <v>225.59704597462033</v>
      </c>
      <c r="E8">
        <f>Расчёт!F31</f>
        <v>17.5</v>
      </c>
      <c r="F8">
        <f>Расчёт!A31</f>
        <v>350</v>
      </c>
      <c r="G8" t="str">
        <f>Расчёт!C85</f>
        <v/>
      </c>
    </row>
    <row r="9" spans="1:7" x14ac:dyDescent="0.25">
      <c r="A9">
        <f>Расчёт!A7</f>
        <v>25</v>
      </c>
      <c r="B9">
        <f>Расчёт!F7</f>
        <v>235.5</v>
      </c>
      <c r="C9">
        <f>Расчёт!C59</f>
        <v>235.47840946239114</v>
      </c>
      <c r="E9" t="str">
        <f>Расчёт!F32</f>
        <v/>
      </c>
      <c r="F9">
        <f>Расчёт!A32</f>
        <v>0</v>
      </c>
      <c r="G9" t="str">
        <f>Расчёт!C86</f>
        <v/>
      </c>
    </row>
    <row r="10" spans="1:7" x14ac:dyDescent="0.25">
      <c r="A10">
        <f>Расчёт!A8</f>
        <v>30</v>
      </c>
      <c r="B10">
        <f>Расчёт!F8</f>
        <v>244.5</v>
      </c>
      <c r="C10">
        <f>Расчёт!C60</f>
        <v>244.0349341733781</v>
      </c>
      <c r="E10" t="str">
        <f>Расчёт!F33</f>
        <v/>
      </c>
      <c r="F10">
        <f>Расчёт!A33</f>
        <v>0</v>
      </c>
      <c r="G10" t="str">
        <f>Расчёт!C87</f>
        <v/>
      </c>
    </row>
    <row r="11" spans="1:7" x14ac:dyDescent="0.25">
      <c r="A11">
        <f>Расчёт!A9</f>
        <v>35</v>
      </c>
      <c r="B11">
        <f>Расчёт!F9</f>
        <v>250.5</v>
      </c>
      <c r="C11">
        <f>Расчёт!C61</f>
        <v>251.50512645249486</v>
      </c>
      <c r="E11" t="str">
        <f>Расчёт!F34</f>
        <v/>
      </c>
      <c r="F11">
        <f>Расчёт!A34</f>
        <v>0</v>
      </c>
      <c r="G11" t="str">
        <f>Расчёт!C88</f>
        <v/>
      </c>
    </row>
    <row r="12" spans="1:7" x14ac:dyDescent="0.25">
      <c r="A12">
        <f>Расчёт!A10</f>
        <v>40</v>
      </c>
      <c r="B12">
        <f>Расчёт!F10</f>
        <v>257</v>
      </c>
      <c r="C12">
        <f>Расчёт!C62</f>
        <v>258.12749264465509</v>
      </c>
      <c r="E12" t="str">
        <f>Расчёт!F35</f>
        <v/>
      </c>
      <c r="F12">
        <f>Расчёт!A35</f>
        <v>0</v>
      </c>
      <c r="G12" t="str">
        <f>Расчёт!C89</f>
        <v/>
      </c>
    </row>
    <row r="13" spans="1:7" x14ac:dyDescent="0.25">
      <c r="A13">
        <f>Расчёт!A11</f>
        <v>45</v>
      </c>
      <c r="B13">
        <f>Расчёт!F11</f>
        <v>262.5</v>
      </c>
      <c r="C13">
        <f>Расчёт!C63</f>
        <v>264.14053909477246</v>
      </c>
      <c r="E13" t="str">
        <f>Расчёт!F36</f>
        <v/>
      </c>
      <c r="F13">
        <f>Расчёт!A36</f>
        <v>0</v>
      </c>
      <c r="G13" t="str">
        <f>Расчёт!C90</f>
        <v/>
      </c>
    </row>
    <row r="14" spans="1:7" x14ac:dyDescent="0.25">
      <c r="A14">
        <f>Расчёт!A12</f>
        <v>50</v>
      </c>
      <c r="B14">
        <f>Расчёт!F12</f>
        <v>269.5</v>
      </c>
      <c r="C14">
        <f>Расчёт!C64</f>
        <v>269.78277214776068</v>
      </c>
      <c r="E14" t="str">
        <f>Расчёт!F37</f>
        <v/>
      </c>
      <c r="F14">
        <f>Расчёт!A37</f>
        <v>0</v>
      </c>
      <c r="G14" t="str">
        <f>Расчёт!C91</f>
        <v/>
      </c>
    </row>
    <row r="15" spans="1:7" x14ac:dyDescent="0.25">
      <c r="A15">
        <f>Расчёт!A13</f>
        <v>55</v>
      </c>
      <c r="B15">
        <f>Расчёт!F13</f>
        <v>274.5</v>
      </c>
      <c r="C15">
        <f>Расчёт!C65</f>
        <v>275.29269814853342</v>
      </c>
      <c r="E15" t="str">
        <f>Расчёт!F38</f>
        <v/>
      </c>
      <c r="F15">
        <f>Расчёт!A38</f>
        <v>0</v>
      </c>
      <c r="G15" t="str">
        <f>Расчёт!C92</f>
        <v/>
      </c>
    </row>
    <row r="16" spans="1:7" x14ac:dyDescent="0.25">
      <c r="A16">
        <f>Расчёт!A14</f>
        <v>60</v>
      </c>
      <c r="B16">
        <f>Расчёт!F14</f>
        <v>281</v>
      </c>
      <c r="C16">
        <f>Расчёт!C66</f>
        <v>280.90882344200423</v>
      </c>
      <c r="E16" t="str">
        <f>Расчёт!F39</f>
        <v/>
      </c>
      <c r="F16">
        <f>Расчёт!A39</f>
        <v>0</v>
      </c>
      <c r="G16" t="str">
        <f>Расчёт!C93</f>
        <v/>
      </c>
    </row>
    <row r="17" spans="1:7" x14ac:dyDescent="0.25">
      <c r="A17">
        <f>Расчёт!A15</f>
        <v>65</v>
      </c>
      <c r="B17">
        <f>Расчёт!F15</f>
        <v>287.5</v>
      </c>
      <c r="C17">
        <f>Расчёт!C67</f>
        <v>286.86965437308686</v>
      </c>
      <c r="E17" t="str">
        <f>Расчёт!F40</f>
        <v/>
      </c>
      <c r="F17">
        <f>Расчёт!A40</f>
        <v>0</v>
      </c>
      <c r="G17" t="str">
        <f>Расчёт!C94</f>
        <v/>
      </c>
    </row>
    <row r="18" spans="1:7" x14ac:dyDescent="0.25">
      <c r="A18">
        <f>Расчёт!A16</f>
        <v>70</v>
      </c>
      <c r="B18">
        <f>Расчёт!F16</f>
        <v>294.5</v>
      </c>
      <c r="C18">
        <f>Расчёт!C68</f>
        <v>293.41369728669497</v>
      </c>
      <c r="E18" t="str">
        <f>Расчёт!F41</f>
        <v/>
      </c>
      <c r="F18">
        <f>Расчёт!A41</f>
        <v>0</v>
      </c>
      <c r="G18" t="str">
        <f>Расчёт!C95</f>
        <v/>
      </c>
    </row>
    <row r="19" spans="1:7" x14ac:dyDescent="0.25">
      <c r="A19">
        <f>Расчёт!A17</f>
        <v>75</v>
      </c>
      <c r="B19">
        <f>Расчёт!F17</f>
        <v>300.5</v>
      </c>
      <c r="C19">
        <f>Расчёт!C69</f>
        <v>300.77945852774229</v>
      </c>
      <c r="E19" t="str">
        <f>Расчёт!F42</f>
        <v/>
      </c>
      <c r="F19">
        <f>Расчёт!A42</f>
        <v>0</v>
      </c>
      <c r="G19" t="str">
        <f>Расчёт!C96</f>
        <v/>
      </c>
    </row>
    <row r="20" spans="1:7" x14ac:dyDescent="0.25">
      <c r="A20">
        <f>Расчёт!A18</f>
        <v>80</v>
      </c>
      <c r="B20">
        <f>Расчёт!F18</f>
        <v>310</v>
      </c>
      <c r="C20">
        <f>Расчёт!C70</f>
        <v>309.20544444114239</v>
      </c>
      <c r="E20" t="str">
        <f>Расчёт!F43</f>
        <v/>
      </c>
      <c r="F20">
        <f>Расчёт!A43</f>
        <v>0</v>
      </c>
      <c r="G20" t="str">
        <f>Расчёт!C97</f>
        <v/>
      </c>
    </row>
    <row r="21" spans="1:7" x14ac:dyDescent="0.25">
      <c r="A21">
        <f>Расчёт!A19</f>
        <v>85</v>
      </c>
      <c r="B21">
        <f>Расчёт!F19</f>
        <v>318.5</v>
      </c>
      <c r="C21">
        <f>Расчёт!C71</f>
        <v>318.93016137180899</v>
      </c>
      <c r="E21" t="str">
        <f>Расчёт!F44</f>
        <v/>
      </c>
      <c r="F21">
        <f>Расчёт!A44</f>
        <v>0</v>
      </c>
      <c r="G21" t="str">
        <f>Расчёт!C98</f>
        <v/>
      </c>
    </row>
    <row r="22" spans="1:7" x14ac:dyDescent="0.25">
      <c r="A22">
        <f>Расчёт!A20</f>
        <v>90</v>
      </c>
      <c r="B22">
        <f>Расчёт!F20</f>
        <v>330.5</v>
      </c>
      <c r="C22">
        <f>Расчёт!C72</f>
        <v>330.19211566465572</v>
      </c>
      <c r="E22" t="str">
        <f>Расчёт!F45</f>
        <v/>
      </c>
      <c r="F22">
        <f>Расчёт!A45</f>
        <v>0</v>
      </c>
      <c r="G22" t="str">
        <f>Расчёт!C99</f>
        <v/>
      </c>
    </row>
    <row r="23" spans="1:7" x14ac:dyDescent="0.25">
      <c r="A23">
        <f>Расчёт!A21</f>
        <v>95</v>
      </c>
      <c r="B23">
        <f>Расчёт!F21</f>
        <v>346</v>
      </c>
      <c r="C23">
        <f>Расчёт!C73</f>
        <v>343.22981366459624</v>
      </c>
      <c r="E23" t="str">
        <f>Расчёт!F46</f>
        <v/>
      </c>
      <c r="F23">
        <f>Расчёт!A46</f>
        <v>0</v>
      </c>
      <c r="G23" t="str">
        <f>Расчёт!C100</f>
        <v/>
      </c>
    </row>
    <row r="24" spans="1:7" x14ac:dyDescent="0.25">
      <c r="A24">
        <f>Расчёт!A22</f>
        <v>100</v>
      </c>
      <c r="B24">
        <f>Расчёт!F22</f>
        <v>355.5</v>
      </c>
      <c r="C24">
        <f>Расчёт!C74</f>
        <v>358.28176171654434</v>
      </c>
      <c r="E24" t="str">
        <f>Расчёт!F47</f>
        <v/>
      </c>
      <c r="F24">
        <f>Расчёт!A47</f>
        <v>0</v>
      </c>
      <c r="G24" t="str">
        <f>Расчёт!C101</f>
        <v/>
      </c>
    </row>
    <row r="26" spans="1:7" x14ac:dyDescent="0.25">
      <c r="A26" s="22" t="s">
        <v>105</v>
      </c>
      <c r="B26">
        <f>Расчёт!B75</f>
        <v>0.99779043637475284</v>
      </c>
      <c r="E26" s="22" t="s">
        <v>106</v>
      </c>
      <c r="F26" t="str">
        <f>Расчёт!B102</f>
        <v/>
      </c>
    </row>
    <row r="27" spans="1:7" x14ac:dyDescent="0.25">
      <c r="A27" s="22" t="s">
        <v>107</v>
      </c>
    </row>
    <row r="28" spans="1:7" x14ac:dyDescent="0.25">
      <c r="A28" s="12" t="s">
        <v>108</v>
      </c>
      <c r="B28" s="12" t="s">
        <v>109</v>
      </c>
    </row>
    <row r="29" spans="1:7" x14ac:dyDescent="0.25">
      <c r="A29" s="14">
        <f>IFERROR(INDEX(Расчёт!$F$27:$F$47,SMALL(IF(ISNUMBER(Расчёт!$F$27:$F$47),ROW(Расчёт!$F$27:$F$47)-ROW(Расчёт!$F$27)+1),1)),"")</f>
        <v>4.5</v>
      </c>
      <c r="B29" s="14">
        <f>IFERROR(INDEX(Расчёт!$A$27:$A$47,SMALL(IF(ISNUMBER(Расчёт!$F$27:$F$47),ROW(Расчёт!$F$27:$F$47)-ROW(Расчёт!$F$27)+1),1)),"")</f>
        <v>150</v>
      </c>
    </row>
    <row r="30" spans="1:7" x14ac:dyDescent="0.25">
      <c r="A30" s="14" t="str">
        <f>IFERROR(INDEX(Расчёт!$F$27:$F$47,SMALL(IF(ISNUMBER(Расчёт!$F$27:$F$47),ROW(Расчёт!$F$27:$F$47)-ROW(Расчёт!$F$27)+1),2)),"")</f>
        <v/>
      </c>
      <c r="B30" s="14" t="str">
        <f>IFERROR(INDEX(Расчёт!$A$27:$A$47,SMALL(IF(ISNUMBER(Расчёт!$F$27:$F$47),ROW(Расчёт!$F$27:$F$47)-ROW(Расчёт!$F$27)+1),2)),"")</f>
        <v/>
      </c>
    </row>
    <row r="31" spans="1:7" x14ac:dyDescent="0.25">
      <c r="A31" s="14" t="str">
        <f>IFERROR(INDEX(Расчёт!$F$27:$F$47,SMALL(IF(ISNUMBER(Расчёт!$F$27:$F$47),ROW(Расчёт!$F$27:$F$47)-ROW(Расчёт!$F$27)+1),3)),"")</f>
        <v/>
      </c>
      <c r="B31" s="14" t="str">
        <f>IFERROR(INDEX(Расчёт!$A$27:$A$47,SMALL(IF(ISNUMBER(Расчёт!$F$27:$F$47),ROW(Расчёт!$F$27:$F$47)-ROW(Расчёт!$F$27)+1),3)),"")</f>
        <v/>
      </c>
    </row>
    <row r="32" spans="1:7" x14ac:dyDescent="0.25">
      <c r="A32" s="14" t="str">
        <f>IFERROR(INDEX(Расчёт!$F$27:$F$47,SMALL(IF(ISNUMBER(Расчёт!$F$27:$F$47),ROW(Расчёт!$F$27:$F$47)-ROW(Расчёт!$F$27)+1),4)),"")</f>
        <v/>
      </c>
      <c r="B32" s="14" t="str">
        <f>IFERROR(INDEX(Расчёт!$A$27:$A$47,SMALL(IF(ISNUMBER(Расчёт!$F$27:$F$47),ROW(Расчёт!$F$27:$F$47)-ROW(Расчёт!$F$27)+1),4)),"")</f>
        <v/>
      </c>
    </row>
    <row r="33" spans="1:2" x14ac:dyDescent="0.25">
      <c r="A33" s="14" t="str">
        <f>IFERROR(INDEX(Расчёт!$F$27:$F$47,SMALL(IF(ISNUMBER(Расчёт!$F$27:$F$47),ROW(Расчёт!$F$27:$F$47)-ROW(Расчёт!$F$27)+1),5)),"")</f>
        <v/>
      </c>
      <c r="B33" s="14" t="str">
        <f>IFERROR(INDEX(Расчёт!$A$27:$A$47,SMALL(IF(ISNUMBER(Расчёт!$F$27:$F$47),ROW(Расчёт!$F$27:$F$47)-ROW(Расчёт!$F$27)+1),5)),"")</f>
        <v/>
      </c>
    </row>
    <row r="34" spans="1:2" x14ac:dyDescent="0.25">
      <c r="A34" s="14" t="str">
        <f>IFERROR(INDEX(Расчёт!$F$27:$F$47,SMALL(IF(ISNUMBER(Расчёт!$F$27:$F$47),ROW(Расчёт!$F$27:$F$47)-ROW(Расчёт!$F$27)+1),6)),"")</f>
        <v/>
      </c>
      <c r="B34" s="14" t="str">
        <f>IFERROR(INDEX(Расчёт!$A$27:$A$47,SMALL(IF(ISNUMBER(Расчёт!$F$27:$F$47),ROW(Расчёт!$F$27:$F$47)-ROW(Расчёт!$F$27)+1),6)),"")</f>
        <v/>
      </c>
    </row>
    <row r="35" spans="1:2" x14ac:dyDescent="0.25">
      <c r="A35" s="14" t="str">
        <f>IFERROR(INDEX(Расчёт!$F$27:$F$47,SMALL(IF(ISNUMBER(Расчёт!$F$27:$F$47),ROW(Расчёт!$F$27:$F$47)-ROW(Расчёт!$F$27)+1),7)),"")</f>
        <v/>
      </c>
      <c r="B35" s="14" t="str">
        <f>IFERROR(INDEX(Расчёт!$A$27:$A$47,SMALL(IF(ISNUMBER(Расчёт!$F$27:$F$47),ROW(Расчёт!$F$27:$F$47)-ROW(Расчёт!$F$27)+1),7)),"")</f>
        <v/>
      </c>
    </row>
    <row r="36" spans="1:2" x14ac:dyDescent="0.25">
      <c r="A36" s="14" t="str">
        <f>IFERROR(INDEX(Расчёт!$F$27:$F$47,SMALL(IF(ISNUMBER(Расчёт!$F$27:$F$47),ROW(Расчёт!$F$27:$F$47)-ROW(Расчёт!$F$27)+1),8)),"")</f>
        <v/>
      </c>
      <c r="B36" s="14" t="str">
        <f>IFERROR(INDEX(Расчёт!$A$27:$A$47,SMALL(IF(ISNUMBER(Расчёт!$F$27:$F$47),ROW(Расчёт!$F$27:$F$47)-ROW(Расчёт!$F$27)+1),8)),"")</f>
        <v/>
      </c>
    </row>
    <row r="37" spans="1:2" x14ac:dyDescent="0.25">
      <c r="A37" s="14" t="str">
        <f>IFERROR(INDEX(Расчёт!$F$27:$F$47,SMALL(IF(ISNUMBER(Расчёт!$F$27:$F$47),ROW(Расчёт!$F$27:$F$47)-ROW(Расчёт!$F$27)+1),9)),"")</f>
        <v/>
      </c>
      <c r="B37" s="14" t="str">
        <f>IFERROR(INDEX(Расчёт!$A$27:$A$47,SMALL(IF(ISNUMBER(Расчёт!$F$27:$F$47),ROW(Расчёт!$F$27:$F$47)-ROW(Расчёт!$F$27)+1),9)),"")</f>
        <v/>
      </c>
    </row>
    <row r="38" spans="1:2" x14ac:dyDescent="0.25">
      <c r="A38" s="14" t="str">
        <f>IFERROR(INDEX(Расчёт!$F$27:$F$47,SMALL(IF(ISNUMBER(Расчёт!$F$27:$F$47),ROW(Расчёт!$F$27:$F$47)-ROW(Расчёт!$F$27)+1),10)),"")</f>
        <v/>
      </c>
      <c r="B38" s="14" t="str">
        <f>IFERROR(INDEX(Расчёт!$A$27:$A$47,SMALL(IF(ISNUMBER(Расчёт!$F$27:$F$47),ROW(Расчёт!$F$27:$F$47)-ROW(Расчёт!$F$27)+1),10)),"")</f>
        <v/>
      </c>
    </row>
    <row r="39" spans="1:2" x14ac:dyDescent="0.25">
      <c r="A39" s="14" t="str">
        <f>IFERROR(INDEX(Расчёт!$F$27:$F$47,SMALL(IF(ISNUMBER(Расчёт!$F$27:$F$47),ROW(Расчёт!$F$27:$F$47)-ROW(Расчёт!$F$27)+1),11)),"")</f>
        <v/>
      </c>
      <c r="B39" s="14" t="str">
        <f>IFERROR(INDEX(Расчёт!$A$27:$A$47,SMALL(IF(ISNUMBER(Расчёт!$F$27:$F$47),ROW(Расчёт!$F$27:$F$47)-ROW(Расчёт!$F$27)+1),11)),"")</f>
        <v/>
      </c>
    </row>
    <row r="40" spans="1:2" x14ac:dyDescent="0.25">
      <c r="A40" s="14" t="str">
        <f>IFERROR(INDEX(Расчёт!$F$27:$F$47,SMALL(IF(ISNUMBER(Расчёт!$F$27:$F$47),ROW(Расчёт!$F$27:$F$47)-ROW(Расчёт!$F$27)+1),12)),"")</f>
        <v/>
      </c>
      <c r="B40" s="14" t="str">
        <f>IFERROR(INDEX(Расчёт!$A$27:$A$47,SMALL(IF(ISNUMBER(Расчёт!$F$27:$F$47),ROW(Расчёт!$F$27:$F$47)-ROW(Расчёт!$F$27)+1),12)),"")</f>
        <v/>
      </c>
    </row>
    <row r="41" spans="1:2" x14ac:dyDescent="0.25">
      <c r="A41" s="14" t="str">
        <f>IFERROR(INDEX(Расчёт!$F$27:$F$47,SMALL(IF(ISNUMBER(Расчёт!$F$27:$F$47),ROW(Расчёт!$F$27:$F$47)-ROW(Расчёт!$F$27)+1),13)),"")</f>
        <v/>
      </c>
      <c r="B41" s="14" t="str">
        <f>IFERROR(INDEX(Расчёт!$A$27:$A$47,SMALL(IF(ISNUMBER(Расчёт!$F$27:$F$47),ROW(Расчёт!$F$27:$F$47)-ROW(Расчёт!$F$27)+1),13)),"")</f>
        <v/>
      </c>
    </row>
    <row r="42" spans="1:2" x14ac:dyDescent="0.25">
      <c r="A42" s="14" t="str">
        <f>IFERROR(INDEX(Расчёт!$F$27:$F$47,SMALL(IF(ISNUMBER(Расчёт!$F$27:$F$47),ROW(Расчёт!$F$27:$F$47)-ROW(Расчёт!$F$27)+1),14)),"")</f>
        <v/>
      </c>
      <c r="B42" s="14" t="str">
        <f>IFERROR(INDEX(Расчёт!$A$27:$A$47,SMALL(IF(ISNUMBER(Расчёт!$F$27:$F$47),ROW(Расчёт!$F$27:$F$47)-ROW(Расчёт!$F$27)+1),14)),"")</f>
        <v/>
      </c>
    </row>
    <row r="43" spans="1:2" x14ac:dyDescent="0.25">
      <c r="A43" s="14" t="str">
        <f>IFERROR(INDEX(Расчёт!$F$27:$F$47,SMALL(IF(ISNUMBER(Расчёт!$F$27:$F$47),ROW(Расчёт!$F$27:$F$47)-ROW(Расчёт!$F$27)+1),15)),"")</f>
        <v/>
      </c>
      <c r="B43" s="14" t="str">
        <f>IFERROR(INDEX(Расчёт!$A$27:$A$47,SMALL(IF(ISNUMBER(Расчёт!$F$27:$F$47),ROW(Расчёт!$F$27:$F$47)-ROW(Расчёт!$F$27)+1),15)),"")</f>
        <v/>
      </c>
    </row>
    <row r="44" spans="1:2" x14ac:dyDescent="0.25">
      <c r="A44" s="14" t="str">
        <f>IFERROR(INDEX(Расчёт!$F$27:$F$47,SMALL(IF(ISNUMBER(Расчёт!$F$27:$F$47),ROW(Расчёт!$F$27:$F$47)-ROW(Расчёт!$F$27)+1),16)),"")</f>
        <v/>
      </c>
      <c r="B44" s="14" t="str">
        <f>IFERROR(INDEX(Расчёт!$A$27:$A$47,SMALL(IF(ISNUMBER(Расчёт!$F$27:$F$47),ROW(Расчёт!$F$27:$F$47)-ROW(Расчёт!$F$27)+1),16)),"")</f>
        <v/>
      </c>
    </row>
    <row r="45" spans="1:2" x14ac:dyDescent="0.25">
      <c r="A45" s="14" t="str">
        <f>IFERROR(INDEX(Расчёт!$F$27:$F$47,SMALL(IF(ISNUMBER(Расчёт!$F$27:$F$47),ROW(Расчёт!$F$27:$F$47)-ROW(Расчёт!$F$27)+1),17)),"")</f>
        <v/>
      </c>
      <c r="B45" s="14" t="str">
        <f>IFERROR(INDEX(Расчёт!$A$27:$A$47,SMALL(IF(ISNUMBER(Расчёт!$F$27:$F$47),ROW(Расчёт!$F$27:$F$47)-ROW(Расчёт!$F$27)+1),17)),"")</f>
        <v/>
      </c>
    </row>
    <row r="46" spans="1:2" x14ac:dyDescent="0.25">
      <c r="A46" s="14" t="str">
        <f>IFERROR(INDEX(Расчёт!$F$27:$F$47,SMALL(IF(ISNUMBER(Расчёт!$F$27:$F$47),ROW(Расчёт!$F$27:$F$47)-ROW(Расчёт!$F$27)+1),18)),"")</f>
        <v/>
      </c>
      <c r="B46" s="14" t="str">
        <f>IFERROR(INDEX(Расчёт!$A$27:$A$47,SMALL(IF(ISNUMBER(Расчёт!$F$27:$F$47),ROW(Расчёт!$F$27:$F$47)-ROW(Расчёт!$F$27)+1),18)),"")</f>
        <v/>
      </c>
    </row>
    <row r="47" spans="1:2" x14ac:dyDescent="0.25">
      <c r="A47" s="14" t="str">
        <f>IFERROR(INDEX(Расчёт!$F$27:$F$47,SMALL(IF(ISNUMBER(Расчёт!$F$27:$F$47),ROW(Расчёт!$F$27:$F$47)-ROW(Расчёт!$F$27)+1),19)),"")</f>
        <v/>
      </c>
      <c r="B47" s="14" t="str">
        <f>IFERROR(INDEX(Расчёт!$A$27:$A$47,SMALL(IF(ISNUMBER(Расчёт!$F$27:$F$47),ROW(Расчёт!$F$27:$F$47)-ROW(Расчёт!$F$27)+1),19)),"")</f>
        <v/>
      </c>
    </row>
    <row r="48" spans="1:2" x14ac:dyDescent="0.25">
      <c r="A48" s="14" t="str">
        <f>IFERROR(INDEX(Расчёт!$F$27:$F$47,SMALL(IF(ISNUMBER(Расчёт!$F$27:$F$47),ROW(Расчёт!$F$27:$F$47)-ROW(Расчёт!$F$27)+1),20)),"")</f>
        <v/>
      </c>
      <c r="B48" s="14" t="str">
        <f>IFERROR(INDEX(Расчёт!$A$27:$A$47,SMALL(IF(ISNUMBER(Расчёт!$F$27:$F$47),ROW(Расчёт!$F$27:$F$47)-ROW(Расчёт!$F$27)+1),20)),"")</f>
        <v/>
      </c>
    </row>
    <row r="49" spans="1:2" x14ac:dyDescent="0.25">
      <c r="A49" s="14" t="str">
        <f>IFERROR(INDEX(Расчёт!$F$27:$F$47,SMALL(IF(ISNUMBER(Расчёт!$F$27:$F$47),ROW(Расчёт!$F$27:$F$47)-ROW(Расчёт!$F$27)+1),21)),"")</f>
        <v/>
      </c>
      <c r="B49" s="14" t="str">
        <f>IFERROR(INDEX(Расчёт!$A$27:$A$47,SMALL(IF(ISNUMBER(Расчёт!$F$27:$F$47),ROW(Расчёт!$F$27:$F$47)-ROW(Расчёт!$F$27)+1),21)),"")</f>
        <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 книге</vt:lpstr>
      <vt:lpstr>Ввод</vt:lpstr>
      <vt:lpstr>Расчёт</vt:lpstr>
      <vt:lpstr>Итог</vt:lpstr>
      <vt:lpstr>График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Arhys</cp:lastModifiedBy>
  <dcterms:created xsi:type="dcterms:W3CDTF">2026-10-07T05:46:22Z</dcterms:created>
  <dcterms:modified xsi:type="dcterms:W3CDTF">2026-10-07T17:01:41Z</dcterms:modified>
</cp:coreProperties>
</file>