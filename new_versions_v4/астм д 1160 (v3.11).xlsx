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 книге" sheetId="1" state="visible" r:id="rId1"/>
    <sheet xmlns:r="http://schemas.openxmlformats.org/officeDocument/2006/relationships" name="Ввод" sheetId="2" state="visible" r:id="rId2"/>
    <sheet xmlns:r="http://schemas.openxmlformats.org/officeDocument/2006/relationships" name="Расчёт" sheetId="3" state="visible" r:id="rId3"/>
    <sheet xmlns:r="http://schemas.openxmlformats.org/officeDocument/2006/relationships" name="Итог" sheetId="4" state="visible" r:id="rId4"/>
    <sheet xmlns:r="http://schemas.openxmlformats.org/officeDocument/2006/relationships" name="График"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00"/>
  </numFmts>
  <fonts count="4">
    <font>
      <name val="Calibri"/>
      <family val="2"/>
      <color theme="1"/>
      <sz val="11"/>
      <scheme val="minor"/>
    </font>
    <font>
      <b val="1"/>
    </font>
    <font>
      <i val="1"/>
      <color rgb="007F6000"/>
      <sz val="9"/>
    </font>
    <font>
      <b val="1"/>
      <sz val="11"/>
    </font>
  </fonts>
  <fills count="8">
    <fill>
      <patternFill/>
    </fill>
    <fill>
      <patternFill patternType="gray125"/>
    </fill>
    <fill>
      <patternFill patternType="solid">
        <fgColor rgb="004F81BD"/>
      </patternFill>
    </fill>
    <fill>
      <patternFill patternType="solid">
        <fgColor rgb="00FFEB9C"/>
      </patternFill>
    </fill>
    <fill>
      <patternFill patternType="solid">
        <fgColor rgb="00E2EFDA"/>
      </patternFill>
    </fill>
    <fill>
      <patternFill patternType="solid">
        <fgColor rgb="00DDEBF7"/>
      </patternFill>
    </fill>
    <fill>
      <patternFill patternType="solid">
        <fgColor rgb="00FFF2CC"/>
      </patternFill>
    </fill>
    <fill>
      <patternFill patternType="solid">
        <fgColor rgb="00E4DFE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8">
    <xf numFmtId="0" fontId="0" fillId="0" borderId="0" pivotButton="0" quotePrefix="0" xfId="0"/>
    <xf numFmtId="0" fontId="1" fillId="2" borderId="1" pivotButton="0" quotePrefix="0" xfId="0"/>
    <xf numFmtId="0" fontId="0" fillId="0" borderId="1" pivotButton="0" quotePrefix="0" xfId="0"/>
    <xf numFmtId="0" fontId="1" fillId="3" borderId="1" pivotButton="0" quotePrefix="0" xfId="0"/>
    <xf numFmtId="0" fontId="0" fillId="3" borderId="1" pivotButton="0" quotePrefix="0" xfId="0"/>
    <xf numFmtId="0" fontId="0" fillId="4" borderId="1" pivotButton="0" quotePrefix="0" xfId="0"/>
    <xf numFmtId="0" fontId="0" fillId="5" borderId="1" pivotButton="0" quotePrefix="0" xfId="0"/>
    <xf numFmtId="0" fontId="1" fillId="5" borderId="1" pivotButton="0" quotePrefix="0" xfId="0"/>
    <xf numFmtId="0" fontId="2" fillId="3" borderId="1" pivotButton="0" quotePrefix="0" xfId="0"/>
    <xf numFmtId="0" fontId="1" fillId="6" borderId="1" pivotButton="0" quotePrefix="0" xfId="0"/>
    <xf numFmtId="0" fontId="3" fillId="6" borderId="1" pivotButton="0" quotePrefix="0" xfId="0"/>
    <xf numFmtId="164" fontId="0" fillId="4" borderId="1" pivotButton="0" quotePrefix="0" xfId="0"/>
    <xf numFmtId="164" fontId="0" fillId="5" borderId="1" pivotButton="0" quotePrefix="0" xfId="0"/>
    <xf numFmtId="2" fontId="0" fillId="5" borderId="1" pivotButton="0" quotePrefix="0" xfId="0"/>
    <xf numFmtId="0" fontId="3" fillId="7" borderId="1" pivotButton="0" quotePrefix="0" xfId="0"/>
    <xf numFmtId="165" fontId="0" fillId="5" borderId="1" pivotButton="0" quotePrefix="0" xfId="0"/>
    <xf numFmtId="0" fontId="1" fillId="7" borderId="1" pivotButton="0" quotePrefix="0" xfId="0"/>
    <xf numFmtId="166"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Ветка 1 — дистилляция D1160: эксперимент vs полином, R² = 'Расчёт'!B75</a:t>
            </a:r>
          </a:p>
        </rich>
      </tx>
    </title>
    <plotArea>
      <lineChart>
        <grouping val="standard"/>
        <ser>
          <idx val="0"/>
          <order val="0"/>
          <tx>
            <strRef>
              <f>'График'!B3</f>
            </strRef>
          </tx>
          <spPr>
            <a:ln xmlns:a="http://schemas.openxmlformats.org/drawingml/2006/main">
              <a:prstDash val="solid"/>
            </a:ln>
          </spPr>
          <marker>
            <symbol val="none"/>
            <spPr>
              <a:ln xmlns:a="http://schemas.openxmlformats.org/drawingml/2006/main">
                <a:prstDash val="solid"/>
              </a:ln>
            </spPr>
          </marker>
          <cat>
            <numRef>
              <f>'График'!$A$4:$A$24</f>
            </numRef>
          </cat>
          <val>
            <numRef>
              <f>'График'!$B$4:$B$24</f>
            </numRef>
          </val>
        </ser>
        <ser>
          <idx val="1"/>
          <order val="1"/>
          <tx>
            <strRef>
              <f>'График'!C3</f>
            </strRef>
          </tx>
          <spPr>
            <a:ln xmlns:a="http://schemas.openxmlformats.org/drawingml/2006/main">
              <a:prstDash val="solid"/>
            </a:ln>
          </spPr>
          <marker>
            <symbol val="none"/>
            <spPr>
              <a:ln xmlns:a="http://schemas.openxmlformats.org/drawingml/2006/main">
                <a:prstDash val="solid"/>
              </a:ln>
            </spPr>
          </marker>
          <val>
            <numRef>
              <f>'График'!$C$4:$C$24</f>
            </numRef>
          </val>
        </ser>
        <axId val="10"/>
        <axId val="100"/>
      </lineChart>
      <catAx>
        <axId val="10"/>
        <scaling>
          <orientation val="minMax"/>
        </scaling>
        <axPos val="l"/>
        <title>
          <tx>
            <rich>
              <a:bodyPr xmlns:a="http://schemas.openxmlformats.org/drawingml/2006/main"/>
              <a:p xmlns:a="http://schemas.openxmlformats.org/drawingml/2006/main">
                <a:pPr>
                  <a:defRPr/>
                </a:pPr>
                <a:r>
                  <a:t>Объём отгона, %</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Температура, °C</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Ветка 2 — T_НД (из НД, при 760) vs Vср, R² = 'Расчёт'!B102</a:t>
            </a:r>
          </a:p>
        </rich>
      </tx>
    </title>
    <plotArea>
      <lineChart>
        <grouping val="standard"/>
        <ser>
          <idx val="0"/>
          <order val="0"/>
          <tx>
            <strRef>
              <f>'График'!F3</f>
            </strRef>
          </tx>
          <spPr>
            <a:ln xmlns:a="http://schemas.openxmlformats.org/drawingml/2006/main">
              <a:prstDash val="solid"/>
            </a:ln>
          </spPr>
          <marker>
            <symbol val="none"/>
            <spPr>
              <a:ln xmlns:a="http://schemas.openxmlformats.org/drawingml/2006/main">
                <a:prstDash val="solid"/>
              </a:ln>
            </spPr>
          </marker>
          <cat>
            <numRef>
              <f>'График'!$E$4:$E$24</f>
            </numRef>
          </cat>
          <val>
            <numRef>
              <f>'График'!$F$4:$F$24</f>
            </numRef>
          </val>
        </ser>
        <ser>
          <idx val="1"/>
          <order val="1"/>
          <tx>
            <strRef>
              <f>'График'!G3</f>
            </strRef>
          </tx>
          <spPr>
            <a:ln xmlns:a="http://schemas.openxmlformats.org/drawingml/2006/main">
              <a:prstDash val="solid"/>
            </a:ln>
          </spPr>
          <marker>
            <symbol val="none"/>
            <spPr>
              <a:ln xmlns:a="http://schemas.openxmlformats.org/drawingml/2006/main">
                <a:prstDash val="solid"/>
              </a:ln>
            </spPr>
          </marker>
          <val>
            <numRef>
              <f>'График'!$G$4:$G$24</f>
            </numRef>
          </val>
        </ser>
        <axId val="10"/>
        <axId val="100"/>
      </lineChart>
      <catAx>
        <axId val="10"/>
        <scaling>
          <orientation val="minMax"/>
        </scaling>
        <axPos val="l"/>
        <title>
          <tx>
            <rich>
              <a:bodyPr xmlns:a="http://schemas.openxmlformats.org/drawingml/2006/main"/>
              <a:p xmlns:a="http://schemas.openxmlformats.org/drawingml/2006/main">
                <a:pPr>
                  <a:defRPr/>
                </a:pPr>
                <a:r>
                  <a:t>Vср, % (по двум параллелям)</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Температура, °C (T_НД, при 760)</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автоматизация</author>
  </authors>
  <commentList>
    <comment ref="A27"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8"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9"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70" customWidth="1" min="2" max="2"/>
  </cols>
  <sheetData>
    <row r="1">
      <c r="A1" s="1" t="inlineStr">
        <is>
          <t>Книга</t>
        </is>
      </c>
      <c r="B1" s="2" t="inlineStr">
        <is>
          <t>ASTM D1160 расчёт (вакуумная)</t>
        </is>
      </c>
    </row>
    <row r="2">
      <c r="A2" s="1" t="inlineStr">
        <is>
          <t>Версия</t>
        </is>
      </c>
      <c r="B2" s="2" t="inlineStr">
        <is>
          <t>3.11.0</t>
        </is>
      </c>
    </row>
    <row r="3">
      <c r="A3" s="1" t="inlineStr">
        <is>
          <t>Дата генерации</t>
        </is>
      </c>
      <c r="B3" s="2" t="inlineStr">
        <is>
          <t>2026-10-07</t>
        </is>
      </c>
    </row>
    <row r="4">
      <c r="A4" s="1" t="inlineStr">
        <is>
          <t>Стандарт</t>
        </is>
      </c>
      <c r="B4" s="2" t="inlineStr">
        <is>
          <t>ASTM D1160-18</t>
        </is>
      </c>
    </row>
    <row r="5">
      <c r="A5" s="1" t="inlineStr">
        <is>
          <t>Метод</t>
        </is>
      </c>
      <c r="B5" s="2" t="inlineStr">
        <is>
          <t>Определение фракционного состава при пониженном давлении, AET</t>
        </is>
      </c>
    </row>
    <row r="6">
      <c r="A6" s="1" t="inlineStr">
        <is>
          <t>Источник расчёта</t>
        </is>
      </c>
      <c r="B6" s="2" t="inlineStr">
        <is>
          <t>fraction_lib (Python)</t>
        </is>
      </c>
    </row>
    <row r="7">
      <c r="A7" s="1" t="inlineStr">
        <is>
          <t>Автор/Разработчик</t>
        </is>
      </c>
      <c r="B7" s="2" t="inlineStr">
        <is>
          <t>лаборатория (заполнить)</t>
        </is>
      </c>
    </row>
    <row r="8">
      <c r="A8" s="1" t="inlineStr">
        <is>
          <t>Проверил</t>
        </is>
      </c>
      <c r="B8" s="2" t="inlineStr"/>
    </row>
    <row r="9">
      <c r="A9" s="1" t="inlineStr">
        <is>
          <t>Утвердил</t>
        </is>
      </c>
      <c r="B9" s="2" t="inlineStr"/>
    </row>
    <row r="10">
      <c r="A10" s="1" t="inlineStr">
        <is>
          <t>Примечание</t>
        </is>
      </c>
      <c r="B10" s="2" t="inlineStr">
        <is>
          <t>Книга генерируется скриптом — правки вручную не вносить</t>
        </is>
      </c>
    </row>
    <row r="11">
      <c r="A11" s="3" t="inlineStr">
        <is>
          <t>Политика пустых ячеек (TD-007)</t>
        </is>
      </c>
      <c r="B11" s="4" t="inlineStr">
        <is>
          <t>Пустая ячейка = не введено (НЕ РАССЧИТАНО). Ошибка формулы = ошибка расчёта. Статус контроля: НЕ РАССЧИТАНО / OK / НЕ СООТВЕТСТВУЕТ.</t>
        </is>
      </c>
    </row>
    <row r="12">
      <c r="A12" s="3" t="inlineStr">
        <is>
          <t>Критерий K (ГСО)</t>
        </is>
      </c>
      <c r="B12" s="4" t="inlineStr">
        <is>
          <t>K = (1/√2)·√(R² − r²/2) — из свидетельства на ГСО, НЕ изменять</t>
        </is>
      </c>
    </row>
    <row r="13">
      <c r="A13" s="3" t="inlineStr">
        <is>
          <t>Коэффициент 0,84 (ОК)</t>
        </is>
      </c>
      <c r="B13" s="4" t="inlineStr">
        <is>
          <t>Из сборника «Метрология в химическом анализе» (АНАЛИТИКА), НЕ изменять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6" customWidth="1" min="1" max="1"/>
    <col width="12" customWidth="1" min="2" max="2"/>
    <col width="12" customWidth="1" min="3" max="3"/>
    <col width="14" customWidth="1" min="4" max="4"/>
  </cols>
  <sheetData>
    <row r="1">
      <c r="A1" s="1" t="inlineStr">
        <is>
          <t>P разгонки, мм рт.ст.</t>
        </is>
      </c>
      <c r="B1" s="5" t="n">
        <v>10</v>
      </c>
      <c r="C1" s="1" t="inlineStr">
        <is>
          <t>P атм, мм рт.ст.</t>
        </is>
      </c>
      <c r="D1" s="5" t="n">
        <v>750</v>
      </c>
      <c r="F1" s="1" t="inlineStr">
        <is>
          <t>Объём образца, мл</t>
        </is>
      </c>
      <c r="G1" s="5" t="n">
        <v>100</v>
      </c>
    </row>
    <row r="3">
      <c r="A3" s="1" t="inlineStr">
        <is>
          <t>% отгона</t>
        </is>
      </c>
      <c r="B3" s="1" t="inlineStr">
        <is>
          <t>V, мл</t>
        </is>
      </c>
      <c r="C3" s="1" t="inlineStr">
        <is>
          <t>T1, °C</t>
        </is>
      </c>
      <c r="D3" s="1" t="inlineStr">
        <is>
          <t>T2, °C</t>
        </is>
      </c>
    </row>
    <row r="4">
      <c r="A4" s="6">
        <f>IF(ISNUMBER(B4),ROUND(B4/$G$1*100,1),"НК")</f>
        <v/>
      </c>
      <c r="B4" s="5" t="n"/>
      <c r="C4" s="5" t="n"/>
      <c r="D4" s="5" t="n"/>
    </row>
    <row r="5">
      <c r="A5" s="6">
        <f>IF(ISNUMBER(B5),ROUND(B5/$G$1*100,1),"5")</f>
        <v/>
      </c>
      <c r="B5" s="5" t="n"/>
      <c r="C5" s="5" t="n"/>
      <c r="D5" s="5" t="n"/>
    </row>
    <row r="6">
      <c r="A6" s="6">
        <f>IF(ISNUMBER(B6),ROUND(B6/$G$1*100,1),"10")</f>
        <v/>
      </c>
      <c r="B6" s="5" t="n"/>
      <c r="C6" s="5" t="n"/>
      <c r="D6" s="5" t="n"/>
    </row>
    <row r="7">
      <c r="A7" s="6">
        <f>IF(ISNUMBER(B7),ROUND(B7/$G$1*100,1),"15")</f>
        <v/>
      </c>
      <c r="B7" s="5" t="n"/>
      <c r="C7" s="5" t="n"/>
      <c r="D7" s="5" t="n"/>
    </row>
    <row r="8">
      <c r="A8" s="6">
        <f>IF(ISNUMBER(B8),ROUND(B8/$G$1*100,1),"20")</f>
        <v/>
      </c>
      <c r="B8" s="5" t="n"/>
      <c r="C8" s="5" t="n"/>
      <c r="D8" s="5" t="n"/>
    </row>
    <row r="9">
      <c r="A9" s="6">
        <f>IF(ISNUMBER(B9),ROUND(B9/$G$1*100,1),"25")</f>
        <v/>
      </c>
      <c r="B9" s="5" t="n"/>
      <c r="C9" s="5" t="n"/>
      <c r="D9" s="5" t="n"/>
    </row>
    <row r="10">
      <c r="A10" s="6">
        <f>IF(ISNUMBER(B10),ROUND(B10/$G$1*100,1),"30")</f>
        <v/>
      </c>
      <c r="B10" s="5" t="n"/>
      <c r="C10" s="5" t="n"/>
      <c r="D10" s="5" t="n"/>
    </row>
    <row r="11">
      <c r="A11" s="6">
        <f>IF(ISNUMBER(B11),ROUND(B11/$G$1*100,1),"35")</f>
        <v/>
      </c>
      <c r="B11" s="5" t="n"/>
      <c r="C11" s="5" t="n"/>
      <c r="D11" s="5" t="n"/>
    </row>
    <row r="12">
      <c r="A12" s="6">
        <f>IF(ISNUMBER(B12),ROUND(B12/$G$1*100,1),"40")</f>
        <v/>
      </c>
      <c r="B12" s="5" t="n"/>
      <c r="C12" s="5" t="n"/>
      <c r="D12" s="5" t="n"/>
    </row>
    <row r="13">
      <c r="A13" s="6">
        <f>IF(ISNUMBER(B13),ROUND(B13/$G$1*100,1),"45")</f>
        <v/>
      </c>
      <c r="B13" s="5" t="n"/>
      <c r="C13" s="5" t="n"/>
      <c r="D13" s="5" t="n"/>
    </row>
    <row r="14">
      <c r="A14" s="6">
        <f>IF(ISNUMBER(B14),ROUND(B14/$G$1*100,1),"50")</f>
        <v/>
      </c>
      <c r="B14" s="5" t="n"/>
      <c r="C14" s="5" t="n"/>
      <c r="D14" s="5" t="n"/>
    </row>
    <row r="15">
      <c r="A15" s="6">
        <f>IF(ISNUMBER(B15),ROUND(B15/$G$1*100,1),"55")</f>
        <v/>
      </c>
      <c r="B15" s="5" t="n"/>
      <c r="C15" s="5" t="n"/>
      <c r="D15" s="5" t="n"/>
    </row>
    <row r="16">
      <c r="A16" s="6">
        <f>IF(ISNUMBER(B16),ROUND(B16/$G$1*100,1),"60")</f>
        <v/>
      </c>
      <c r="B16" s="5" t="n"/>
      <c r="C16" s="5" t="n"/>
      <c r="D16" s="5" t="n"/>
    </row>
    <row r="17">
      <c r="A17" s="6">
        <f>IF(ISNUMBER(B17),ROUND(B17/$G$1*100,1),"65")</f>
        <v/>
      </c>
      <c r="B17" s="5" t="n"/>
      <c r="C17" s="5" t="n"/>
      <c r="D17" s="5" t="n"/>
    </row>
    <row r="18">
      <c r="A18" s="6">
        <f>IF(ISNUMBER(B18),ROUND(B18/$G$1*100,1),"70")</f>
        <v/>
      </c>
      <c r="B18" s="5" t="n"/>
      <c r="C18" s="5" t="n"/>
      <c r="D18" s="5" t="n"/>
    </row>
    <row r="19">
      <c r="A19" s="6">
        <f>IF(ISNUMBER(B19),ROUND(B19/$G$1*100,1),"75")</f>
        <v/>
      </c>
      <c r="B19" s="5" t="n"/>
      <c r="C19" s="5" t="n"/>
      <c r="D19" s="5" t="n"/>
    </row>
    <row r="20">
      <c r="A20" s="6">
        <f>IF(ISNUMBER(B20),ROUND(B20/$G$1*100,1),"80")</f>
        <v/>
      </c>
      <c r="B20" s="5" t="n"/>
      <c r="C20" s="5" t="n"/>
      <c r="D20" s="5" t="n"/>
    </row>
    <row r="21">
      <c r="A21" s="6">
        <f>IF(ISNUMBER(B21),ROUND(B21/$G$1*100,1),"85")</f>
        <v/>
      </c>
      <c r="B21" s="5" t="n"/>
      <c r="C21" s="5" t="n"/>
      <c r="D21" s="5" t="n"/>
    </row>
    <row r="22">
      <c r="A22" s="6">
        <f>IF(ISNUMBER(B22),ROUND(B22/$G$1*100,1),"90")</f>
        <v/>
      </c>
      <c r="B22" s="5" t="n"/>
      <c r="C22" s="5" t="n"/>
      <c r="D22" s="5" t="n"/>
    </row>
    <row r="23">
      <c r="A23" s="6">
        <f>IF(ISNUMBER(B23),ROUND(B23/$G$1*100,1),"95")</f>
        <v/>
      </c>
      <c r="B23" s="5" t="n"/>
      <c r="C23" s="5" t="n"/>
      <c r="D23" s="5" t="n"/>
    </row>
    <row r="24">
      <c r="A24" s="6">
        <f>IF(ISNUMBER(B24),ROUND(B24/$G$1*100,1),"КК")</f>
        <v/>
      </c>
      <c r="B24" s="5" t="n"/>
      <c r="C24" s="5" t="n"/>
      <c r="D24" s="5" t="n"/>
    </row>
  </sheetData>
  <dataValidations count="2">
    <dataValidation sqref="B1" showDropDown="0" showInputMessage="0" showErrorMessage="1" allowBlank="0" error="P разгонки вне диапазона 1-50 мм рт.ст." type="decimal" operator="between">
      <formula1>1</formula1>
      <formula2>50</formula2>
    </dataValidation>
    <dataValidation sqref="C4 C5 C6 C7 C8 C9 C10 C11 C12 C13 C14 C15 C16 C17 C18 C19 C20 C21 C22 C23 C24 D4 D5 D6 D7 D8 D9 D10 D11 D12 D13 D14 D15 D16 D17 D18 D19 D20 D21 D22 D23 D24" showDropDown="0" showInputMessage="0" showErrorMessage="1" allowBlank="1" error="Температура вне диапазона 0-500°C" type="decimal" operator="between">
      <formula1>0</formula1>
      <formula2>500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4"/>
  <sheetViews>
    <sheetView workbookViewId="0">
      <selection activeCell="A1" sqref="A1"/>
    </sheetView>
  </sheetViews>
  <sheetFormatPr baseColWidth="8" defaultRowHeight="15"/>
  <sheetData>
    <row r="1">
      <c r="A1" s="1" t="inlineStr">
        <is>
          <t>% отгона</t>
        </is>
      </c>
      <c r="B1" s="1" t="inlineStr">
        <is>
          <t>T1</t>
        </is>
      </c>
      <c r="C1" s="1" t="inlineStr">
        <is>
          <t>T2</t>
        </is>
      </c>
      <c r="D1" s="1" t="inlineStr">
        <is>
          <t>Хср</t>
        </is>
      </c>
      <c r="E1" s="1" t="inlineStr">
        <is>
          <t>AET (Максвелл-Боннелл)</t>
        </is>
      </c>
      <c r="F1" s="1" t="inlineStr">
        <is>
          <t>r (12.2)</t>
        </is>
      </c>
      <c r="G1" s="1" t="inlineStr">
        <is>
          <t>R (12.2)</t>
        </is>
      </c>
      <c r="H1" s="1" t="inlineStr">
        <is>
          <t>|T1-T2|</t>
        </is>
      </c>
      <c r="I1" s="1" t="inlineStr">
        <is>
          <t>K (ГСО)</t>
        </is>
      </c>
      <c r="J1" s="1" t="inlineStr">
        <is>
          <t>0.84R (ОК)</t>
        </is>
      </c>
      <c r="K1" s="1" t="inlineStr">
        <is>
          <t>Статус</t>
        </is>
      </c>
      <c r="M1" s="9" t="inlineStr">
        <is>
          <t>ВЕТКА 1 — ЗАДАНЫ ОБЪЁМЫ (выпаривание): % отгона → T1/T2 → поправка давления → T_corr (приведена к 760). Ввод: T1/T2 и объёмы в «Ввод» (зелёные ячейки), Ввод!$G$1 = объём образца, мл.</t>
        </is>
      </c>
    </row>
    <row r="2">
      <c r="A2" s="2" t="n">
        <v>0</v>
      </c>
      <c r="B2" s="6">
        <f>'Ввод'!C4</f>
        <v/>
      </c>
      <c r="C2" s="6">
        <f>'Ввод'!D4</f>
        <v/>
      </c>
      <c r="D2" s="6">
        <f>IF(OR(ISBLANK(B2),ISBLANK(C2)),B2,MROUND((B2+C2)/2,0.5))</f>
        <v/>
      </c>
      <c r="E2" s="6">
        <f>IF(ISBLANK(D2),"",IF(Ввод!$B$1&lt;1,"P&lt;1 мм — вне диапазона (A7.2)",748.1*IF(Ввод!$B$1&gt;=2,(5.994295-0.972546*LOG10(Ввод!$B$1))/(2663.129-95.76*LOG10(Ввод!$B$1)),(6.761559-0.987672*LOG10(Ввод!$B$1))/(3000.538-43.00*LOG10(Ввод!$B$1)))/(1/(D2+273.1)+0.3861*IF(Ввод!$B$1&gt;=2,(5.994295-0.972546*LOG10(Ввод!$B$1))/(2663.129-95.76*LOG10(Ввод!$B$1)),(6.761559-0.987672*LOG10(Ввод!$B$1))/(3000.538-43.00*LOG10(Ввод!$B$1)))-0.00051606)-273.1))</f>
        <v/>
      </c>
      <c r="F2" s="6">
        <f>IF(OR(ISBLANK(E2),ISBLANK(E3)),"",IF(Ввод!$B$1&lt;=10,(1-LOG10(Ввод!$B$1))*2.9+LOG10(Ввод!$B$1)*2.8,2.8)*(EXP(1)*EXP(IF(Ввод!$B$1&lt;=10,(1-LOG10(Ввод!$B$1))*2.372+LOG10(Ввод!$B$1)*2.246,2.246)+IF(Ввод!$B$1&lt;=10,(1-LOG10(Ввод!$B$1))*0+LOG10(Ввод!$B$1)*0,0)*LN(1.8*(ABS(E3-E2)/5))))/1.8)</f>
        <v/>
      </c>
      <c r="G2" s="6">
        <f>IF(OR(ISBLANK(E2),ISBLANK(E3)),"",IF(Ввод!$B$1&lt;=10,(1-LOG10(Ввод!$B$1))*3.0+LOG10(Ввод!$B$1)*2.9,2.9)*(EXP(1)*EXP(IF(Ввод!$B$1&lt;=10,(1-LOG10(Ввод!$B$1))*3.512+LOG10(Ввод!$B$1)*3.424,3.424)+IF(Ввод!$B$1&lt;=10,(1-LOG10(Ввод!$B$1))*0+LOG10(Ввод!$B$1)*0,0)*LN(1.8*(ABS(E3-E2)/5))))/1.8)</f>
        <v/>
      </c>
      <c r="H2" s="6">
        <f>IF(OR(ISBLANK(B2),ISBLANK(C2)),"",ABS(B2-C2))</f>
        <v/>
      </c>
      <c r="I2" s="6">
        <f>(1/SQRT(2))*SQRT(G2^2-F2^2/2)</f>
        <v/>
      </c>
      <c r="J2" s="6">
        <f>0.84*G2</f>
        <v/>
      </c>
      <c r="K2" s="6">
        <f>IF(OR(ISBLANK(B2),ISBLANK(C2)),"НЕ РАССЧИТАНО",IF(AND(ISNUMBER(H2),ISNUMBER(F2)),IF(H2&lt;=F2,"OK","НЕ СООТВЕТСТВУЕТ"),"НЕ РАССЧИТАНО"))</f>
        <v/>
      </c>
    </row>
    <row r="3">
      <c r="A3" s="2" t="n">
        <v>5</v>
      </c>
      <c r="B3" s="6">
        <f>'Ввод'!C5</f>
        <v/>
      </c>
      <c r="C3" s="6">
        <f>'Ввод'!D5</f>
        <v/>
      </c>
      <c r="D3" s="6">
        <f>IF(OR(ISBLANK(B3),ISBLANK(C3)),B3,MROUND((B3+C3)/2,0.5))</f>
        <v/>
      </c>
      <c r="E3" s="6">
        <f>IF(ISBLANK(D3),"",IF(Ввод!$B$1&lt;1,"P&lt;1 мм — вне диапазона (A7.2)",748.1*IF(Ввод!$B$1&gt;=2,(5.994295-0.972546*LOG10(Ввод!$B$1))/(2663.129-95.76*LOG10(Ввод!$B$1)),(6.761559-0.987672*LOG10(Ввод!$B$1))/(3000.538-43.00*LOG10(Ввод!$B$1)))/(1/(D3+273.1)+0.3861*IF(Ввод!$B$1&gt;=2,(5.994295-0.972546*LOG10(Ввод!$B$1))/(2663.129-95.76*LOG10(Ввод!$B$1)),(6.761559-0.987672*LOG10(Ввод!$B$1))/(3000.538-43.00*LOG10(Ввод!$B$1)))-0.00051606)-273.1))</f>
        <v/>
      </c>
      <c r="F3" s="6">
        <f>IF(OR(ISBLANK(E3),ISBLANK(E4)),"",IF(Ввод!$B$1&lt;=10,(1-LOG10(Ввод!$B$1))*2.9+LOG10(Ввод!$B$1)*2.8,2.8)*(EXP(1)*EXP(IF(Ввод!$B$1&lt;=10,(1-LOG10(Ввод!$B$1))*0.439+LOG10(Ввод!$B$1)*0.24,0.24)+IF(Ввод!$B$1&lt;=10,(1-LOG10(Ввод!$B$1))*0.241+LOG10(Ввод!$B$1)*0.35,0.35)*LN(1.8*(ABS(E4-E2)/(A4-A2)))))/1.8)</f>
        <v/>
      </c>
      <c r="G3" s="6">
        <f>IF(OR(ISBLANK(E3),ISBLANK(E4)),"",IF(Ввод!$B$1&lt;=10,(1-LOG10(Ввод!$B$1))*3.3+LOG10(Ввод!$B$1)*3.2,3.2)*(EXP(1)*EXP(IF(Ввод!$B$1&lt;=10,(1-LOG10(Ввод!$B$1))*1.338+LOG10(Ввод!$B$1)*1.415,1.415)+IF(Ввод!$B$1&lt;=10,(1-LOG10(Ввод!$B$1))*0.639+LOG10(Ввод!$B$1)*0.409,0.409)*LN(1.8*(ABS(E4-E2)/(A4-A2)))))/1.8)</f>
        <v/>
      </c>
      <c r="H3" s="6">
        <f>IF(OR(ISBLANK(B3),ISBLANK(C3)),"",ABS(B3-C3))</f>
        <v/>
      </c>
      <c r="I3" s="6">
        <f>(1/SQRT(2))*SQRT(G3^2-F3^2/2)</f>
        <v/>
      </c>
      <c r="J3" s="6">
        <f>0.84*G3</f>
        <v/>
      </c>
      <c r="K3" s="6">
        <f>IF(OR(ISBLANK(B3),ISBLANK(C3)),"НЕ РАССЧИТАНО",IF(AND(ISNUMBER(H3),ISNUMBER(F3)),IF(H3&lt;=F3,"OK","НЕ СООТВЕТСТВУЕТ"),"НЕ РАССЧИТАНО"))</f>
        <v/>
      </c>
    </row>
    <row r="4">
      <c r="A4" s="2" t="n">
        <v>10</v>
      </c>
      <c r="B4" s="6">
        <f>'Ввод'!C6</f>
        <v/>
      </c>
      <c r="C4" s="6">
        <f>'Ввод'!D6</f>
        <v/>
      </c>
      <c r="D4" s="6">
        <f>IF(OR(ISBLANK(B4),ISBLANK(C4)),B4,MROUND((B4+C4)/2,0.5))</f>
        <v/>
      </c>
      <c r="E4" s="6">
        <f>IF(ISBLANK(D4),"",IF(Ввод!$B$1&lt;1,"P&lt;1 мм — вне диапазона (A7.2)",748.1*IF(Ввод!$B$1&gt;=2,(5.994295-0.972546*LOG10(Ввод!$B$1))/(2663.129-95.76*LOG10(Ввод!$B$1)),(6.761559-0.987672*LOG10(Ввод!$B$1))/(3000.538-43.00*LOG10(Ввод!$B$1)))/(1/(D4+273.1)+0.3861*IF(Ввод!$B$1&gt;=2,(5.994295-0.972546*LOG10(Ввод!$B$1))/(2663.129-95.76*LOG10(Ввод!$B$1)),(6.761559-0.987672*LOG10(Ввод!$B$1))/(3000.538-43.00*LOG10(Ввод!$B$1)))-0.00051606)-273.1))</f>
        <v/>
      </c>
      <c r="F4" s="6">
        <f>IF(OR(ISBLANK(E4),ISBLANK(E5)),"",IF(Ввод!$B$1&lt;=10,(1-LOG10(Ввод!$B$1))*2.9+LOG10(Ввод!$B$1)*2.8,2.8)*(EXP(1)*EXP(IF(Ввод!$B$1&lt;=10,(1-LOG10(Ввод!$B$1))*0.439+LOG10(Ввод!$B$1)*0.24,0.24)+IF(Ввод!$B$1&lt;=10,(1-LOG10(Ввод!$B$1))*0.241+LOG10(Ввод!$B$1)*0.35,0.35)*LN(1.8*(ABS(E5-E3)/(A5-A3)))))/1.8)</f>
        <v/>
      </c>
      <c r="G4" s="6">
        <f>IF(OR(ISBLANK(E4),ISBLANK(E5)),"",IF(Ввод!$B$1&lt;=10,(1-LOG10(Ввод!$B$1))*3.3+LOG10(Ввод!$B$1)*3.2,3.2)*(EXP(1)*EXP(IF(Ввод!$B$1&lt;=10,(1-LOG10(Ввод!$B$1))*1.338+LOG10(Ввод!$B$1)*1.415,1.415)+IF(Ввод!$B$1&lt;=10,(1-LOG10(Ввод!$B$1))*0.639+LOG10(Ввод!$B$1)*0.409,0.409)*LN(1.8*(ABS(E5-E3)/(A5-A3)))))/1.8)</f>
        <v/>
      </c>
      <c r="H4" s="6">
        <f>IF(OR(ISBLANK(B4),ISBLANK(C4)),"",ABS(B4-C4))</f>
        <v/>
      </c>
      <c r="I4" s="6">
        <f>(1/SQRT(2))*SQRT(G4^2-F4^2/2)</f>
        <v/>
      </c>
      <c r="J4" s="6">
        <f>0.84*G4</f>
        <v/>
      </c>
      <c r="K4" s="6">
        <f>IF(OR(ISBLANK(B4),ISBLANK(C4)),"НЕ РАССЧИТАНО",IF(AND(ISNUMBER(H4),ISNUMBER(F4)),IF(H4&lt;=F4,"OK","НЕ СООТВЕТСТВУЕТ"),"НЕ РАССЧИТАНО"))</f>
        <v/>
      </c>
    </row>
    <row r="5">
      <c r="A5" s="2" t="n">
        <v>15</v>
      </c>
      <c r="B5" s="6">
        <f>'Ввод'!C7</f>
        <v/>
      </c>
      <c r="C5" s="6">
        <f>'Ввод'!D7</f>
        <v/>
      </c>
      <c r="D5" s="6">
        <f>IF(OR(ISBLANK(B5),ISBLANK(C5)),B5,MROUND((B5+C5)/2,0.5))</f>
        <v/>
      </c>
      <c r="E5" s="6">
        <f>IF(ISBLANK(D5),"",IF(Ввод!$B$1&lt;1,"P&lt;1 мм — вне диапазона (A7.2)",748.1*IF(Ввод!$B$1&gt;=2,(5.994295-0.972546*LOG10(Ввод!$B$1))/(2663.129-95.76*LOG10(Ввод!$B$1)),(6.761559-0.987672*LOG10(Ввод!$B$1))/(3000.538-43.00*LOG10(Ввод!$B$1)))/(1/(D5+273.1)+0.3861*IF(Ввод!$B$1&gt;=2,(5.994295-0.972546*LOG10(Ввод!$B$1))/(2663.129-95.76*LOG10(Ввод!$B$1)),(6.761559-0.987672*LOG10(Ввод!$B$1))/(3000.538-43.00*LOG10(Ввод!$B$1)))-0.00051606)-273.1))</f>
        <v/>
      </c>
      <c r="F5" s="6">
        <f>IF(OR(ISBLANK(E5),ISBLANK(E6)),"",IF(Ввод!$B$1&lt;=10,(1-LOG10(Ввод!$B$1))*2.9+LOG10(Ввод!$B$1)*2.8,2.8)*(EXP(1)*EXP(IF(Ввод!$B$1&lt;=10,(1-LOG10(Ввод!$B$1))*0.439+LOG10(Ввод!$B$1)*0.24,0.24)+IF(Ввод!$B$1&lt;=10,(1-LOG10(Ввод!$B$1))*0.241+LOG10(Ввод!$B$1)*0.35,0.35)*LN(1.8*(ABS(E6-E4)/(A6-A4)))))/1.8)</f>
        <v/>
      </c>
      <c r="G5" s="6">
        <f>IF(OR(ISBLANK(E5),ISBLANK(E6)),"",IF(Ввод!$B$1&lt;=10,(1-LOG10(Ввод!$B$1))*3.3+LOG10(Ввод!$B$1)*3.2,3.2)*(EXP(1)*EXP(IF(Ввод!$B$1&lt;=10,(1-LOG10(Ввод!$B$1))*1.338+LOG10(Ввод!$B$1)*1.415,1.415)+IF(Ввод!$B$1&lt;=10,(1-LOG10(Ввод!$B$1))*0.639+LOG10(Ввод!$B$1)*0.409,0.409)*LN(1.8*(ABS(E6-E4)/(A6-A4)))))/1.8)</f>
        <v/>
      </c>
      <c r="H5" s="6">
        <f>IF(OR(ISBLANK(B5),ISBLANK(C5)),"",ABS(B5-C5))</f>
        <v/>
      </c>
      <c r="I5" s="6">
        <f>(1/SQRT(2))*SQRT(G5^2-F5^2/2)</f>
        <v/>
      </c>
      <c r="J5" s="6">
        <f>0.84*G5</f>
        <v/>
      </c>
      <c r="K5" s="6">
        <f>IF(OR(ISBLANK(B5),ISBLANK(C5)),"НЕ РАССЧИТАНО",IF(AND(ISNUMBER(H5),ISNUMBER(F5)),IF(H5&lt;=F5,"OK","НЕ СООТВЕТСТВУЕТ"),"НЕ РАССЧИТАНО"))</f>
        <v/>
      </c>
    </row>
    <row r="6">
      <c r="A6" s="2" t="n">
        <v>20</v>
      </c>
      <c r="B6" s="6">
        <f>'Ввод'!C8</f>
        <v/>
      </c>
      <c r="C6" s="6">
        <f>'Ввод'!D8</f>
        <v/>
      </c>
      <c r="D6" s="6">
        <f>IF(OR(ISBLANK(B6),ISBLANK(C6)),B6,MROUND((B6+C6)/2,0.5))</f>
        <v/>
      </c>
      <c r="E6" s="6">
        <f>IF(ISBLANK(D6),"",IF(Ввод!$B$1&lt;1,"P&lt;1 мм — вне диапазона (A7.2)",748.1*IF(Ввод!$B$1&gt;=2,(5.994295-0.972546*LOG10(Ввод!$B$1))/(2663.129-95.76*LOG10(Ввод!$B$1)),(6.761559-0.987672*LOG10(Ввод!$B$1))/(3000.538-43.00*LOG10(Ввод!$B$1)))/(1/(D6+273.1)+0.3861*IF(Ввод!$B$1&gt;=2,(5.994295-0.972546*LOG10(Ввод!$B$1))/(2663.129-95.76*LOG10(Ввод!$B$1)),(6.761559-0.987672*LOG10(Ввод!$B$1))/(3000.538-43.00*LOG10(Ввод!$B$1)))-0.00051606)-273.1))</f>
        <v/>
      </c>
      <c r="F6" s="6">
        <f>IF(OR(ISBLANK(E6),ISBLANK(E7)),"",IF(Ввод!$B$1&lt;=10,(1-LOG10(Ввод!$B$1))*2.9+LOG10(Ввод!$B$1)*2.8,2.8)*(EXP(1)*EXP(IF(Ввод!$B$1&lt;=10,(1-LOG10(Ввод!$B$1))*0.439+LOG10(Ввод!$B$1)*0.24,0.24)+IF(Ввод!$B$1&lt;=10,(1-LOG10(Ввод!$B$1))*0.241+LOG10(Ввод!$B$1)*0.35,0.35)*LN(1.8*(ABS(E7-E5)/(A7-A5)))))/1.8)</f>
        <v/>
      </c>
      <c r="G6" s="6">
        <f>IF(OR(ISBLANK(E6),ISBLANK(E7)),"",IF(Ввод!$B$1&lt;=10,(1-LOG10(Ввод!$B$1))*3.3+LOG10(Ввод!$B$1)*3.2,3.2)*(EXP(1)*EXP(IF(Ввод!$B$1&lt;=10,(1-LOG10(Ввод!$B$1))*1.338+LOG10(Ввод!$B$1)*1.415,1.415)+IF(Ввод!$B$1&lt;=10,(1-LOG10(Ввод!$B$1))*0.639+LOG10(Ввод!$B$1)*0.409,0.409)*LN(1.8*(ABS(E7-E5)/(A7-A5)))))/1.8)</f>
        <v/>
      </c>
      <c r="H6" s="6">
        <f>IF(OR(ISBLANK(B6),ISBLANK(C6)),"",ABS(B6-C6))</f>
        <v/>
      </c>
      <c r="I6" s="6">
        <f>(1/SQRT(2))*SQRT(G6^2-F6^2/2)</f>
        <v/>
      </c>
      <c r="J6" s="6">
        <f>0.84*G6</f>
        <v/>
      </c>
      <c r="K6" s="6">
        <f>IF(OR(ISBLANK(B6),ISBLANK(C6)),"НЕ РАССЧИТАНО",IF(AND(ISNUMBER(H6),ISNUMBER(F6)),IF(H6&lt;=F6,"OK","НЕ СООТВЕТСТВУЕТ"),"НЕ РАССЧИТАНО"))</f>
        <v/>
      </c>
    </row>
    <row r="7">
      <c r="A7" s="2" t="n">
        <v>25</v>
      </c>
      <c r="B7" s="6">
        <f>'Ввод'!C9</f>
        <v/>
      </c>
      <c r="C7" s="6">
        <f>'Ввод'!D9</f>
        <v/>
      </c>
      <c r="D7" s="6">
        <f>IF(OR(ISBLANK(B7),ISBLANK(C7)),B7,MROUND((B7+C7)/2,0.5))</f>
        <v/>
      </c>
      <c r="E7" s="6">
        <f>IF(ISBLANK(D7),"",IF(Ввод!$B$1&lt;1,"P&lt;1 мм — вне диапазона (A7.2)",748.1*IF(Ввод!$B$1&gt;=2,(5.994295-0.972546*LOG10(Ввод!$B$1))/(2663.129-95.76*LOG10(Ввод!$B$1)),(6.761559-0.987672*LOG10(Ввод!$B$1))/(3000.538-43.00*LOG10(Ввод!$B$1)))/(1/(D7+273.1)+0.3861*IF(Ввод!$B$1&gt;=2,(5.994295-0.972546*LOG10(Ввод!$B$1))/(2663.129-95.76*LOG10(Ввод!$B$1)),(6.761559-0.987672*LOG10(Ввод!$B$1))/(3000.538-43.00*LOG10(Ввод!$B$1)))-0.00051606)-273.1))</f>
        <v/>
      </c>
      <c r="F7" s="6">
        <f>IF(OR(ISBLANK(E7),ISBLANK(E8)),"",IF(Ввод!$B$1&lt;=10,(1-LOG10(Ввод!$B$1))*2.9+LOG10(Ввод!$B$1)*2.8,2.8)*(EXP(1)*EXP(IF(Ввод!$B$1&lt;=10,(1-LOG10(Ввод!$B$1))*0.439+LOG10(Ввод!$B$1)*0.24,0.24)+IF(Ввод!$B$1&lt;=10,(1-LOG10(Ввод!$B$1))*0.241+LOG10(Ввод!$B$1)*0.35,0.35)*LN(1.8*(ABS(E8-E6)/(A8-A6)))))/1.8)</f>
        <v/>
      </c>
      <c r="G7" s="6">
        <f>IF(OR(ISBLANK(E7),ISBLANK(E8)),"",IF(Ввод!$B$1&lt;=10,(1-LOG10(Ввод!$B$1))*3.3+LOG10(Ввод!$B$1)*3.2,3.2)*(EXP(1)*EXP(IF(Ввод!$B$1&lt;=10,(1-LOG10(Ввод!$B$1))*1.338+LOG10(Ввод!$B$1)*1.415,1.415)+IF(Ввод!$B$1&lt;=10,(1-LOG10(Ввод!$B$1))*0.639+LOG10(Ввод!$B$1)*0.409,0.409)*LN(1.8*(ABS(E8-E6)/(A8-A6)))))/1.8)</f>
        <v/>
      </c>
      <c r="H7" s="6">
        <f>IF(OR(ISBLANK(B7),ISBLANK(C7)),"",ABS(B7-C7))</f>
        <v/>
      </c>
      <c r="I7" s="6">
        <f>(1/SQRT(2))*SQRT(G7^2-F7^2/2)</f>
        <v/>
      </c>
      <c r="J7" s="6">
        <f>0.84*G7</f>
        <v/>
      </c>
      <c r="K7" s="6">
        <f>IF(OR(ISBLANK(B7),ISBLANK(C7)),"НЕ РАССЧИТАНО",IF(AND(ISNUMBER(H7),ISNUMBER(F7)),IF(H7&lt;=F7,"OK","НЕ СООТВЕТСТВУЕТ"),"НЕ РАССЧИТАНО"))</f>
        <v/>
      </c>
    </row>
    <row r="8">
      <c r="A8" s="2" t="n">
        <v>30</v>
      </c>
      <c r="B8" s="6">
        <f>'Ввод'!C10</f>
        <v/>
      </c>
      <c r="C8" s="6">
        <f>'Ввод'!D10</f>
        <v/>
      </c>
      <c r="D8" s="6">
        <f>IF(OR(ISBLANK(B8),ISBLANK(C8)),B8,MROUND((B8+C8)/2,0.5))</f>
        <v/>
      </c>
      <c r="E8" s="6">
        <f>IF(ISBLANK(D8),"",IF(Ввод!$B$1&lt;1,"P&lt;1 мм — вне диапазона (A7.2)",748.1*IF(Ввод!$B$1&gt;=2,(5.994295-0.972546*LOG10(Ввод!$B$1))/(2663.129-95.76*LOG10(Ввод!$B$1)),(6.761559-0.987672*LOG10(Ввод!$B$1))/(3000.538-43.00*LOG10(Ввод!$B$1)))/(1/(D8+273.1)+0.3861*IF(Ввод!$B$1&gt;=2,(5.994295-0.972546*LOG10(Ввод!$B$1))/(2663.129-95.76*LOG10(Ввод!$B$1)),(6.761559-0.987672*LOG10(Ввод!$B$1))/(3000.538-43.00*LOG10(Ввод!$B$1)))-0.00051606)-273.1))</f>
        <v/>
      </c>
      <c r="F8" s="6">
        <f>IF(OR(ISBLANK(E8),ISBLANK(E9)),"",IF(Ввод!$B$1&lt;=10,(1-LOG10(Ввод!$B$1))*2.9+LOG10(Ввод!$B$1)*2.8,2.8)*(EXP(1)*EXP(IF(Ввод!$B$1&lt;=10,(1-LOG10(Ввод!$B$1))*0.439+LOG10(Ввод!$B$1)*0.24,0.24)+IF(Ввод!$B$1&lt;=10,(1-LOG10(Ввод!$B$1))*0.241+LOG10(Ввод!$B$1)*0.35,0.35)*LN(1.8*(ABS(E9-E7)/(A9-A7)))))/1.8)</f>
        <v/>
      </c>
      <c r="G8" s="6">
        <f>IF(OR(ISBLANK(E8),ISBLANK(E9)),"",IF(Ввод!$B$1&lt;=10,(1-LOG10(Ввод!$B$1))*3.3+LOG10(Ввод!$B$1)*3.2,3.2)*(EXP(1)*EXP(IF(Ввод!$B$1&lt;=10,(1-LOG10(Ввод!$B$1))*1.338+LOG10(Ввод!$B$1)*1.415,1.415)+IF(Ввод!$B$1&lt;=10,(1-LOG10(Ввод!$B$1))*0.639+LOG10(Ввод!$B$1)*0.409,0.409)*LN(1.8*(ABS(E9-E7)/(A9-A7)))))/1.8)</f>
        <v/>
      </c>
      <c r="H8" s="6">
        <f>IF(OR(ISBLANK(B8),ISBLANK(C8)),"",ABS(B8-C8))</f>
        <v/>
      </c>
      <c r="I8" s="6">
        <f>(1/SQRT(2))*SQRT(G8^2-F8^2/2)</f>
        <v/>
      </c>
      <c r="J8" s="6">
        <f>0.84*G8</f>
        <v/>
      </c>
      <c r="K8" s="6">
        <f>IF(OR(ISBLANK(B8),ISBLANK(C8)),"НЕ РАССЧИТАНО",IF(AND(ISNUMBER(H8),ISNUMBER(F8)),IF(H8&lt;=F8,"OK","НЕ СООТВЕТСТВУЕТ"),"НЕ РАССЧИТАНО"))</f>
        <v/>
      </c>
    </row>
    <row r="9">
      <c r="A9" s="2" t="n">
        <v>35</v>
      </c>
      <c r="B9" s="6">
        <f>'Ввод'!C11</f>
        <v/>
      </c>
      <c r="C9" s="6">
        <f>'Ввод'!D11</f>
        <v/>
      </c>
      <c r="D9" s="6">
        <f>IF(OR(ISBLANK(B9),ISBLANK(C9)),B9,MROUND((B9+C9)/2,0.5))</f>
        <v/>
      </c>
      <c r="E9" s="6">
        <f>IF(ISBLANK(D9),"",IF(Ввод!$B$1&lt;1,"P&lt;1 мм — вне диапазона (A7.2)",748.1*IF(Ввод!$B$1&gt;=2,(5.994295-0.972546*LOG10(Ввод!$B$1))/(2663.129-95.76*LOG10(Ввод!$B$1)),(6.761559-0.987672*LOG10(Ввод!$B$1))/(3000.538-43.00*LOG10(Ввод!$B$1)))/(1/(D9+273.1)+0.3861*IF(Ввод!$B$1&gt;=2,(5.994295-0.972546*LOG10(Ввод!$B$1))/(2663.129-95.76*LOG10(Ввод!$B$1)),(6.761559-0.987672*LOG10(Ввод!$B$1))/(3000.538-43.00*LOG10(Ввод!$B$1)))-0.00051606)-273.1))</f>
        <v/>
      </c>
      <c r="F9" s="6">
        <f>IF(OR(ISBLANK(E9),ISBLANK(E10)),"",IF(Ввод!$B$1&lt;=10,(1-LOG10(Ввод!$B$1))*2.9+LOG10(Ввод!$B$1)*2.8,2.8)*(EXP(1)*EXP(IF(Ввод!$B$1&lt;=10,(1-LOG10(Ввод!$B$1))*0.439+LOG10(Ввод!$B$1)*0.24,0.24)+IF(Ввод!$B$1&lt;=10,(1-LOG10(Ввод!$B$1))*0.241+LOG10(Ввод!$B$1)*0.35,0.35)*LN(1.8*(ABS(E10-E8)/(A10-A8)))))/1.8)</f>
        <v/>
      </c>
      <c r="G9" s="6">
        <f>IF(OR(ISBLANK(E9),ISBLANK(E10)),"",IF(Ввод!$B$1&lt;=10,(1-LOG10(Ввод!$B$1))*3.3+LOG10(Ввод!$B$1)*3.2,3.2)*(EXP(1)*EXP(IF(Ввод!$B$1&lt;=10,(1-LOG10(Ввод!$B$1))*1.338+LOG10(Ввод!$B$1)*1.415,1.415)+IF(Ввод!$B$1&lt;=10,(1-LOG10(Ввод!$B$1))*0.639+LOG10(Ввод!$B$1)*0.409,0.409)*LN(1.8*(ABS(E10-E8)/(A10-A8)))))/1.8)</f>
        <v/>
      </c>
      <c r="H9" s="6">
        <f>IF(OR(ISBLANK(B9),ISBLANK(C9)),"",ABS(B9-C9))</f>
        <v/>
      </c>
      <c r="I9" s="6">
        <f>(1/SQRT(2))*SQRT(G9^2-F9^2/2)</f>
        <v/>
      </c>
      <c r="J9" s="6">
        <f>0.84*G9</f>
        <v/>
      </c>
      <c r="K9" s="6">
        <f>IF(OR(ISBLANK(B9),ISBLANK(C9)),"НЕ РАССЧИТАНО",IF(AND(ISNUMBER(H9),ISNUMBER(F9)),IF(H9&lt;=F9,"OK","НЕ СООТВЕТСТВУЕТ"),"НЕ РАССЧИТАНО"))</f>
        <v/>
      </c>
    </row>
    <row r="10">
      <c r="A10" s="2" t="n">
        <v>40</v>
      </c>
      <c r="B10" s="6">
        <f>'Ввод'!C12</f>
        <v/>
      </c>
      <c r="C10" s="6">
        <f>'Ввод'!D12</f>
        <v/>
      </c>
      <c r="D10" s="6">
        <f>IF(OR(ISBLANK(B10),ISBLANK(C10)),B10,MROUND((B10+C10)/2,0.5))</f>
        <v/>
      </c>
      <c r="E10" s="6">
        <f>IF(ISBLANK(D10),"",IF(Ввод!$B$1&lt;1,"P&lt;1 мм — вне диапазона (A7.2)",748.1*IF(Ввод!$B$1&gt;=2,(5.994295-0.972546*LOG10(Ввод!$B$1))/(2663.129-95.76*LOG10(Ввод!$B$1)),(6.761559-0.987672*LOG10(Ввод!$B$1))/(3000.538-43.00*LOG10(Ввод!$B$1)))/(1/(D10+273.1)+0.3861*IF(Ввод!$B$1&gt;=2,(5.994295-0.972546*LOG10(Ввод!$B$1))/(2663.129-95.76*LOG10(Ввод!$B$1)),(6.761559-0.987672*LOG10(Ввод!$B$1))/(3000.538-43.00*LOG10(Ввод!$B$1)))-0.00051606)-273.1))</f>
        <v/>
      </c>
      <c r="F10" s="6">
        <f>IF(OR(ISBLANK(E10),ISBLANK(E11)),"",IF(Ввод!$B$1&lt;=10,(1-LOG10(Ввод!$B$1))*2.9+LOG10(Ввод!$B$1)*2.8,2.8)*(EXP(1)*EXP(IF(Ввод!$B$1&lt;=10,(1-LOG10(Ввод!$B$1))*0.439+LOG10(Ввод!$B$1)*0.24,0.24)+IF(Ввод!$B$1&lt;=10,(1-LOG10(Ввод!$B$1))*0.241+LOG10(Ввод!$B$1)*0.35,0.35)*LN(1.8*(ABS(E11-E9)/(A11-A9)))))/1.8)</f>
        <v/>
      </c>
      <c r="G10" s="6">
        <f>IF(OR(ISBLANK(E10),ISBLANK(E11)),"",IF(Ввод!$B$1&lt;=10,(1-LOG10(Ввод!$B$1))*3.3+LOG10(Ввод!$B$1)*3.2,3.2)*(EXP(1)*EXP(IF(Ввод!$B$1&lt;=10,(1-LOG10(Ввод!$B$1))*1.338+LOG10(Ввод!$B$1)*1.415,1.415)+IF(Ввод!$B$1&lt;=10,(1-LOG10(Ввод!$B$1))*0.639+LOG10(Ввод!$B$1)*0.409,0.409)*LN(1.8*(ABS(E11-E9)/(A11-A9)))))/1.8)</f>
        <v/>
      </c>
      <c r="H10" s="6">
        <f>IF(OR(ISBLANK(B10),ISBLANK(C10)),"",ABS(B10-C10))</f>
        <v/>
      </c>
      <c r="I10" s="6">
        <f>(1/SQRT(2))*SQRT(G10^2-F10^2/2)</f>
        <v/>
      </c>
      <c r="J10" s="6">
        <f>0.84*G10</f>
        <v/>
      </c>
      <c r="K10" s="6">
        <f>IF(OR(ISBLANK(B10),ISBLANK(C10)),"НЕ РАССЧИТАНО",IF(AND(ISNUMBER(H10),ISNUMBER(F10)),IF(H10&lt;=F10,"OK","НЕ СООТВЕТСТВУЕТ"),"НЕ РАССЧИТАНО"))</f>
        <v/>
      </c>
    </row>
    <row r="11">
      <c r="A11" s="2" t="n">
        <v>45</v>
      </c>
      <c r="B11" s="6">
        <f>'Ввод'!C13</f>
        <v/>
      </c>
      <c r="C11" s="6">
        <f>'Ввод'!D13</f>
        <v/>
      </c>
      <c r="D11" s="6">
        <f>IF(OR(ISBLANK(B11),ISBLANK(C11)),B11,MROUND((B11+C11)/2,0.5))</f>
        <v/>
      </c>
      <c r="E11" s="6">
        <f>IF(ISBLANK(D11),"",IF(Ввод!$B$1&lt;1,"P&lt;1 мм — вне диапазона (A7.2)",748.1*IF(Ввод!$B$1&gt;=2,(5.994295-0.972546*LOG10(Ввод!$B$1))/(2663.129-95.76*LOG10(Ввод!$B$1)),(6.761559-0.987672*LOG10(Ввод!$B$1))/(3000.538-43.00*LOG10(Ввод!$B$1)))/(1/(D11+273.1)+0.3861*IF(Ввод!$B$1&gt;=2,(5.994295-0.972546*LOG10(Ввод!$B$1))/(2663.129-95.76*LOG10(Ввод!$B$1)),(6.761559-0.987672*LOG10(Ввод!$B$1))/(3000.538-43.00*LOG10(Ввод!$B$1)))-0.00051606)-273.1))</f>
        <v/>
      </c>
      <c r="F11" s="6">
        <f>IF(OR(ISBLANK(E11),ISBLANK(E12)),"",IF(Ввод!$B$1&lt;=10,(1-LOG10(Ввод!$B$1))*2.9+LOG10(Ввод!$B$1)*2.8,2.8)*(EXP(1)*EXP(IF(Ввод!$B$1&lt;=10,(1-LOG10(Ввод!$B$1))*0.439+LOG10(Ввод!$B$1)*0.24,0.24)+IF(Ввод!$B$1&lt;=10,(1-LOG10(Ввод!$B$1))*0.241+LOG10(Ввод!$B$1)*0.35,0.35)*LN(1.8*(ABS(E12-E10)/(A12-A10)))))/1.8)</f>
        <v/>
      </c>
      <c r="G11" s="6">
        <f>IF(OR(ISBLANK(E11),ISBLANK(E12)),"",IF(Ввод!$B$1&lt;=10,(1-LOG10(Ввод!$B$1))*3.3+LOG10(Ввод!$B$1)*3.2,3.2)*(EXP(1)*EXP(IF(Ввод!$B$1&lt;=10,(1-LOG10(Ввод!$B$1))*1.338+LOG10(Ввод!$B$1)*1.415,1.415)+IF(Ввод!$B$1&lt;=10,(1-LOG10(Ввод!$B$1))*0.639+LOG10(Ввод!$B$1)*0.409,0.409)*LN(1.8*(ABS(E12-E10)/(A12-A10)))))/1.8)</f>
        <v/>
      </c>
      <c r="H11" s="6">
        <f>IF(OR(ISBLANK(B11),ISBLANK(C11)),"",ABS(B11-C11))</f>
        <v/>
      </c>
      <c r="I11" s="6">
        <f>(1/SQRT(2))*SQRT(G11^2-F11^2/2)</f>
        <v/>
      </c>
      <c r="J11" s="6">
        <f>0.84*G11</f>
        <v/>
      </c>
      <c r="K11" s="6">
        <f>IF(OR(ISBLANK(B11),ISBLANK(C11)),"НЕ РАССЧИТАНО",IF(AND(ISNUMBER(H11),ISNUMBER(F11)),IF(H11&lt;=F11,"OK","НЕ СООТВЕТСТВУЕТ"),"НЕ РАССЧИТАНО"))</f>
        <v/>
      </c>
    </row>
    <row r="12">
      <c r="A12" s="2" t="n">
        <v>50</v>
      </c>
      <c r="B12" s="6">
        <f>'Ввод'!C14</f>
        <v/>
      </c>
      <c r="C12" s="6">
        <f>'Ввод'!D14</f>
        <v/>
      </c>
      <c r="D12" s="6">
        <f>IF(OR(ISBLANK(B12),ISBLANK(C12)),B12,MROUND((B12+C12)/2,0.5))</f>
        <v/>
      </c>
      <c r="E12" s="6">
        <f>IF(ISBLANK(D12),"",IF(Ввод!$B$1&lt;1,"P&lt;1 мм — вне диапазона (A7.2)",748.1*IF(Ввод!$B$1&gt;=2,(5.994295-0.972546*LOG10(Ввод!$B$1))/(2663.129-95.76*LOG10(Ввод!$B$1)),(6.761559-0.987672*LOG10(Ввод!$B$1))/(3000.538-43.00*LOG10(Ввод!$B$1)))/(1/(D12+273.1)+0.3861*IF(Ввод!$B$1&gt;=2,(5.994295-0.972546*LOG10(Ввод!$B$1))/(2663.129-95.76*LOG10(Ввод!$B$1)),(6.761559-0.987672*LOG10(Ввод!$B$1))/(3000.538-43.00*LOG10(Ввод!$B$1)))-0.00051606)-273.1))</f>
        <v/>
      </c>
      <c r="F12" s="6">
        <f>IF(OR(ISBLANK(E12),ISBLANK(E13)),"",IF(Ввод!$B$1&lt;=10,(1-LOG10(Ввод!$B$1))*2.9+LOG10(Ввод!$B$1)*2.8,2.8)*(EXP(1)*EXP(IF(Ввод!$B$1&lt;=10,(1-LOG10(Ввод!$B$1))*0.439+LOG10(Ввод!$B$1)*0.24,0.24)+IF(Ввод!$B$1&lt;=10,(1-LOG10(Ввод!$B$1))*0.241+LOG10(Ввод!$B$1)*0.35,0.35)*LN(1.8*(ABS(E13-E11)/(A13-A11)))))/1.8)</f>
        <v/>
      </c>
      <c r="G12" s="6">
        <f>IF(OR(ISBLANK(E12),ISBLANK(E13)),"",IF(Ввод!$B$1&lt;=10,(1-LOG10(Ввод!$B$1))*3.3+LOG10(Ввод!$B$1)*3.2,3.2)*(EXP(1)*EXP(IF(Ввод!$B$1&lt;=10,(1-LOG10(Ввод!$B$1))*1.338+LOG10(Ввод!$B$1)*1.415,1.415)+IF(Ввод!$B$1&lt;=10,(1-LOG10(Ввод!$B$1))*0.639+LOG10(Ввод!$B$1)*0.409,0.409)*LN(1.8*(ABS(E13-E11)/(A13-A11)))))/1.8)</f>
        <v/>
      </c>
      <c r="H12" s="6">
        <f>IF(OR(ISBLANK(B12),ISBLANK(C12)),"",ABS(B12-C12))</f>
        <v/>
      </c>
      <c r="I12" s="6">
        <f>(1/SQRT(2))*SQRT(G12^2-F12^2/2)</f>
        <v/>
      </c>
      <c r="J12" s="6">
        <f>0.84*G12</f>
        <v/>
      </c>
      <c r="K12" s="6">
        <f>IF(OR(ISBLANK(B12),ISBLANK(C12)),"НЕ РАССЧИТАНО",IF(AND(ISNUMBER(H12),ISNUMBER(F12)),IF(H12&lt;=F12,"OK","НЕ СООТВЕТСТВУЕТ"),"НЕ РАССЧИТАНО"))</f>
        <v/>
      </c>
    </row>
    <row r="13">
      <c r="A13" s="2" t="n">
        <v>55</v>
      </c>
      <c r="B13" s="6">
        <f>'Ввод'!C15</f>
        <v/>
      </c>
      <c r="C13" s="6">
        <f>'Ввод'!D15</f>
        <v/>
      </c>
      <c r="D13" s="6">
        <f>IF(OR(ISBLANK(B13),ISBLANK(C13)),B13,MROUND((B13+C13)/2,0.5))</f>
        <v/>
      </c>
      <c r="E13" s="6">
        <f>IF(ISBLANK(D13),"",IF(Ввод!$B$1&lt;1,"P&lt;1 мм — вне диапазона (A7.2)",748.1*IF(Ввод!$B$1&gt;=2,(5.994295-0.972546*LOG10(Ввод!$B$1))/(2663.129-95.76*LOG10(Ввод!$B$1)),(6.761559-0.987672*LOG10(Ввод!$B$1))/(3000.538-43.00*LOG10(Ввод!$B$1)))/(1/(D13+273.1)+0.3861*IF(Ввод!$B$1&gt;=2,(5.994295-0.972546*LOG10(Ввод!$B$1))/(2663.129-95.76*LOG10(Ввод!$B$1)),(6.761559-0.987672*LOG10(Ввод!$B$1))/(3000.538-43.00*LOG10(Ввод!$B$1)))-0.00051606)-273.1))</f>
        <v/>
      </c>
      <c r="F13" s="6">
        <f>IF(OR(ISBLANK(E13),ISBLANK(E14)),"",IF(Ввод!$B$1&lt;=10,(1-LOG10(Ввод!$B$1))*3.0+LOG10(Ввод!$B$1)*2.9,2.9)*(EXP(1)*EXP(IF(Ввод!$B$1&lt;=10,(1-LOG10(Ввод!$B$1))*0.439+LOG10(Ввод!$B$1)*0.24,0.24)+IF(Ввод!$B$1&lt;=10,(1-LOG10(Ввод!$B$1))*0.241+LOG10(Ввод!$B$1)*0.35,0.35)*LN(1.8*(ABS(E14-E12)/(A14-A12)))))/1.8)</f>
        <v/>
      </c>
      <c r="G13" s="6">
        <f>IF(OR(ISBLANK(E13),ISBLANK(E14)),"",IF(Ввод!$B$1&lt;=10,(1-LOG10(Ввод!$B$1))*3.3+LOG10(Ввод!$B$1)*3.1,3.1)*(EXP(1)*EXP(IF(Ввод!$B$1&lt;=10,(1-LOG10(Ввод!$B$1))*0.815+LOG10(Ввод!$B$1)*1.19,1.19)+IF(Ввод!$B$1&lt;=10,(1-LOG10(Ввод!$B$1))*0.639+LOG10(Ввод!$B$1)*0.409,0.409)*LN(1.8*(ABS(E14-E12)/(A14-A12)))))/1.8)</f>
        <v/>
      </c>
      <c r="H13" s="6">
        <f>IF(OR(ISBLANK(B13),ISBLANK(C13)),"",ABS(B13-C13))</f>
        <v/>
      </c>
      <c r="I13" s="6">
        <f>(1/SQRT(2))*SQRT(G13^2-F13^2/2)</f>
        <v/>
      </c>
      <c r="J13" s="6">
        <f>0.84*G13</f>
        <v/>
      </c>
      <c r="K13" s="6">
        <f>IF(OR(ISBLANK(B13),ISBLANK(C13)),"НЕ РАССЧИТАНО",IF(AND(ISNUMBER(H13),ISNUMBER(F13)),IF(H13&lt;=F13,"OK","НЕ СООТВЕТСТВУЕТ"),"НЕ РАССЧИТАНО"))</f>
        <v/>
      </c>
    </row>
    <row r="14">
      <c r="A14" s="2" t="n">
        <v>60</v>
      </c>
      <c r="B14" s="6">
        <f>'Ввод'!C16</f>
        <v/>
      </c>
      <c r="C14" s="6">
        <f>'Ввод'!D16</f>
        <v/>
      </c>
      <c r="D14" s="6">
        <f>IF(OR(ISBLANK(B14),ISBLANK(C14)),B14,MROUND((B14+C14)/2,0.5))</f>
        <v/>
      </c>
      <c r="E14" s="6">
        <f>IF(ISBLANK(D14),"",IF(Ввод!$B$1&lt;1,"P&lt;1 мм — вне диапазона (A7.2)",748.1*IF(Ввод!$B$1&gt;=2,(5.994295-0.972546*LOG10(Ввод!$B$1))/(2663.129-95.76*LOG10(Ввод!$B$1)),(6.761559-0.987672*LOG10(Ввод!$B$1))/(3000.538-43.00*LOG10(Ввод!$B$1)))/(1/(D14+273.1)+0.3861*IF(Ввод!$B$1&gt;=2,(5.994295-0.972546*LOG10(Ввод!$B$1))/(2663.129-95.76*LOG10(Ввод!$B$1)),(6.761559-0.987672*LOG10(Ввод!$B$1))/(3000.538-43.00*LOG10(Ввод!$B$1)))-0.00051606)-273.1))</f>
        <v/>
      </c>
      <c r="F14" s="6">
        <f>IF(OR(ISBLANK(E14),ISBLANK(E15)),"",IF(Ввод!$B$1&lt;=10,(1-LOG10(Ввод!$B$1))*3.0+LOG10(Ввод!$B$1)*2.9,2.9)*(EXP(1)*EXP(IF(Ввод!$B$1&lt;=10,(1-LOG10(Ввод!$B$1))*0.439+LOG10(Ввод!$B$1)*0.24,0.24)+IF(Ввод!$B$1&lt;=10,(1-LOG10(Ввод!$B$1))*0.241+LOG10(Ввод!$B$1)*0.35,0.35)*LN(1.8*(ABS(E15-E13)/(A15-A13)))))/1.8)</f>
        <v/>
      </c>
      <c r="G14" s="6">
        <f>IF(OR(ISBLANK(E14),ISBLANK(E15)),"",IF(Ввод!$B$1&lt;=10,(1-LOG10(Ввод!$B$1))*3.3+LOG10(Ввод!$B$1)*3.1,3.1)*(EXP(1)*EXP(IF(Ввод!$B$1&lt;=10,(1-LOG10(Ввод!$B$1))*0.815+LOG10(Ввод!$B$1)*1.19,1.19)+IF(Ввод!$B$1&lt;=10,(1-LOG10(Ввод!$B$1))*0.639+LOG10(Ввод!$B$1)*0.409,0.409)*LN(1.8*(ABS(E15-E13)/(A15-A13)))))/1.8)</f>
        <v/>
      </c>
      <c r="H14" s="6">
        <f>IF(OR(ISBLANK(B14),ISBLANK(C14)),"",ABS(B14-C14))</f>
        <v/>
      </c>
      <c r="I14" s="6">
        <f>(1/SQRT(2))*SQRT(G14^2-F14^2/2)</f>
        <v/>
      </c>
      <c r="J14" s="6">
        <f>0.84*G14</f>
        <v/>
      </c>
      <c r="K14" s="6">
        <f>IF(OR(ISBLANK(B14),ISBLANK(C14)),"НЕ РАССЧИТАНО",IF(AND(ISNUMBER(H14),ISNUMBER(F14)),IF(H14&lt;=F14,"OK","НЕ СООТВЕТСТВУЕТ"),"НЕ РАССЧИТАНО"))</f>
        <v/>
      </c>
    </row>
    <row r="15">
      <c r="A15" s="2" t="n">
        <v>65</v>
      </c>
      <c r="B15" s="6">
        <f>'Ввод'!C17</f>
        <v/>
      </c>
      <c r="C15" s="6">
        <f>'Ввод'!D17</f>
        <v/>
      </c>
      <c r="D15" s="6">
        <f>IF(OR(ISBLANK(B15),ISBLANK(C15)),B15,MROUND((B15+C15)/2,0.5))</f>
        <v/>
      </c>
      <c r="E15" s="6">
        <f>IF(ISBLANK(D15),"",IF(Ввод!$B$1&lt;1,"P&lt;1 мм — вне диапазона (A7.2)",748.1*IF(Ввод!$B$1&gt;=2,(5.994295-0.972546*LOG10(Ввод!$B$1))/(2663.129-95.76*LOG10(Ввод!$B$1)),(6.761559-0.987672*LOG10(Ввод!$B$1))/(3000.538-43.00*LOG10(Ввод!$B$1)))/(1/(D15+273.1)+0.3861*IF(Ввод!$B$1&gt;=2,(5.994295-0.972546*LOG10(Ввод!$B$1))/(2663.129-95.76*LOG10(Ввод!$B$1)),(6.761559-0.987672*LOG10(Ввод!$B$1))/(3000.538-43.00*LOG10(Ввод!$B$1)))-0.00051606)-273.1))</f>
        <v/>
      </c>
      <c r="F15" s="6">
        <f>IF(OR(ISBLANK(E15),ISBLANK(E16)),"",IF(Ввод!$B$1&lt;=10,(1-LOG10(Ввод!$B$1))*3.0+LOG10(Ввод!$B$1)*2.9,2.9)*(EXP(1)*EXP(IF(Ввод!$B$1&lt;=10,(1-LOG10(Ввод!$B$1))*0.439+LOG10(Ввод!$B$1)*0.24,0.24)+IF(Ввод!$B$1&lt;=10,(1-LOG10(Ввод!$B$1))*0.241+LOG10(Ввод!$B$1)*0.35,0.35)*LN(1.8*(ABS(E16-E14)/(A16-A14)))))/1.8)</f>
        <v/>
      </c>
      <c r="G15" s="6">
        <f>IF(OR(ISBLANK(E15),ISBLANK(E16)),"",IF(Ввод!$B$1&lt;=10,(1-LOG10(Ввод!$B$1))*3.3+LOG10(Ввод!$B$1)*3.1,3.1)*(EXP(1)*EXP(IF(Ввод!$B$1&lt;=10,(1-LOG10(Ввод!$B$1))*0.815+LOG10(Ввод!$B$1)*1.19,1.19)+IF(Ввод!$B$1&lt;=10,(1-LOG10(Ввод!$B$1))*0.639+LOG10(Ввод!$B$1)*0.409,0.409)*LN(1.8*(ABS(E16-E14)/(A16-A14)))))/1.8)</f>
        <v/>
      </c>
      <c r="H15" s="6">
        <f>IF(OR(ISBLANK(B15),ISBLANK(C15)),"",ABS(B15-C15))</f>
        <v/>
      </c>
      <c r="I15" s="6">
        <f>(1/SQRT(2))*SQRT(G15^2-F15^2/2)</f>
        <v/>
      </c>
      <c r="J15" s="6">
        <f>0.84*G15</f>
        <v/>
      </c>
      <c r="K15" s="6">
        <f>IF(OR(ISBLANK(B15),ISBLANK(C15)),"НЕ РАССЧИТАНО",IF(AND(ISNUMBER(H15),ISNUMBER(F15)),IF(H15&lt;=F15,"OK","НЕ СООТВЕТСТВУЕТ"),"НЕ РАССЧИТАНО"))</f>
        <v/>
      </c>
    </row>
    <row r="16">
      <c r="A16" s="2" t="n">
        <v>70</v>
      </c>
      <c r="B16" s="6">
        <f>'Ввод'!C18</f>
        <v/>
      </c>
      <c r="C16" s="6">
        <f>'Ввод'!D18</f>
        <v/>
      </c>
      <c r="D16" s="6">
        <f>IF(OR(ISBLANK(B16),ISBLANK(C16)),B16,MROUND((B16+C16)/2,0.5))</f>
        <v/>
      </c>
      <c r="E16" s="6">
        <f>IF(ISBLANK(D16),"",IF(Ввод!$B$1&lt;1,"P&lt;1 мм — вне диапазона (A7.2)",748.1*IF(Ввод!$B$1&gt;=2,(5.994295-0.972546*LOG10(Ввод!$B$1))/(2663.129-95.76*LOG10(Ввод!$B$1)),(6.761559-0.987672*LOG10(Ввод!$B$1))/(3000.538-43.00*LOG10(Ввод!$B$1)))/(1/(D16+273.1)+0.3861*IF(Ввод!$B$1&gt;=2,(5.994295-0.972546*LOG10(Ввод!$B$1))/(2663.129-95.76*LOG10(Ввод!$B$1)),(6.761559-0.987672*LOG10(Ввод!$B$1))/(3000.538-43.00*LOG10(Ввод!$B$1)))-0.00051606)-273.1))</f>
        <v/>
      </c>
      <c r="F16" s="6">
        <f>IF(OR(ISBLANK(E16),ISBLANK(E17)),"",IF(Ввод!$B$1&lt;=10,(1-LOG10(Ввод!$B$1))*3.0+LOG10(Ввод!$B$1)*2.9,2.9)*(EXP(1)*EXP(IF(Ввод!$B$1&lt;=10,(1-LOG10(Ввод!$B$1))*0.439+LOG10(Ввод!$B$1)*0.24,0.24)+IF(Ввод!$B$1&lt;=10,(1-LOG10(Ввод!$B$1))*0.241+LOG10(Ввод!$B$1)*0.35,0.35)*LN(1.8*(ABS(E17-E15)/(A17-A15)))))/1.8)</f>
        <v/>
      </c>
      <c r="G16" s="6">
        <f>IF(OR(ISBLANK(E16),ISBLANK(E17)),"",IF(Ввод!$B$1&lt;=10,(1-LOG10(Ввод!$B$1))*3.3+LOG10(Ввод!$B$1)*3.1,3.1)*(EXP(1)*EXP(IF(Ввод!$B$1&lt;=10,(1-LOG10(Ввод!$B$1))*0.815+LOG10(Ввод!$B$1)*1.19,1.19)+IF(Ввод!$B$1&lt;=10,(1-LOG10(Ввод!$B$1))*0.639+LOG10(Ввод!$B$1)*0.409,0.409)*LN(1.8*(ABS(E17-E15)/(A17-A15)))))/1.8)</f>
        <v/>
      </c>
      <c r="H16" s="6">
        <f>IF(OR(ISBLANK(B16),ISBLANK(C16)),"",ABS(B16-C16))</f>
        <v/>
      </c>
      <c r="I16" s="6">
        <f>(1/SQRT(2))*SQRT(G16^2-F16^2/2)</f>
        <v/>
      </c>
      <c r="J16" s="6">
        <f>0.84*G16</f>
        <v/>
      </c>
      <c r="K16" s="6">
        <f>IF(OR(ISBLANK(B16),ISBLANK(C16)),"НЕ РАССЧИТАНО",IF(AND(ISNUMBER(H16),ISNUMBER(F16)),IF(H16&lt;=F16,"OK","НЕ СООТВЕТСТВУЕТ"),"НЕ РАССЧИТАНО"))</f>
        <v/>
      </c>
    </row>
    <row r="17">
      <c r="A17" s="2" t="n">
        <v>75</v>
      </c>
      <c r="B17" s="6">
        <f>'Ввод'!C19</f>
        <v/>
      </c>
      <c r="C17" s="6">
        <f>'Ввод'!D19</f>
        <v/>
      </c>
      <c r="D17" s="6">
        <f>IF(OR(ISBLANK(B17),ISBLANK(C17)),B17,MROUND((B17+C17)/2,0.5))</f>
        <v/>
      </c>
      <c r="E17" s="6">
        <f>IF(ISBLANK(D17),"",IF(Ввод!$B$1&lt;1,"P&lt;1 мм — вне диапазона (A7.2)",748.1*IF(Ввод!$B$1&gt;=2,(5.994295-0.972546*LOG10(Ввод!$B$1))/(2663.129-95.76*LOG10(Ввод!$B$1)),(6.761559-0.987672*LOG10(Ввод!$B$1))/(3000.538-43.00*LOG10(Ввод!$B$1)))/(1/(D17+273.1)+0.3861*IF(Ввод!$B$1&gt;=2,(5.994295-0.972546*LOG10(Ввод!$B$1))/(2663.129-95.76*LOG10(Ввод!$B$1)),(6.761559-0.987672*LOG10(Ввод!$B$1))/(3000.538-43.00*LOG10(Ввод!$B$1)))-0.00051606)-273.1))</f>
        <v/>
      </c>
      <c r="F17" s="6">
        <f>IF(OR(ISBLANK(E17),ISBLANK(E18)),"",IF(Ввод!$B$1&lt;=10,(1-LOG10(Ввод!$B$1))*3.0+LOG10(Ввод!$B$1)*2.9,2.9)*(EXP(1)*EXP(IF(Ввод!$B$1&lt;=10,(1-LOG10(Ввод!$B$1))*0.439+LOG10(Ввод!$B$1)*0.24,0.24)+IF(Ввод!$B$1&lt;=10,(1-LOG10(Ввод!$B$1))*0.241+LOG10(Ввод!$B$1)*0.35,0.35)*LN(1.8*(ABS(E18-E16)/(A18-A16)))))/1.8)</f>
        <v/>
      </c>
      <c r="G17" s="6">
        <f>IF(OR(ISBLANK(E17),ISBLANK(E18)),"",IF(Ввод!$B$1&lt;=10,(1-LOG10(Ввод!$B$1))*3.3+LOG10(Ввод!$B$1)*3.1,3.1)*(EXP(1)*EXP(IF(Ввод!$B$1&lt;=10,(1-LOG10(Ввод!$B$1))*0.815+LOG10(Ввод!$B$1)*1.19,1.19)+IF(Ввод!$B$1&lt;=10,(1-LOG10(Ввод!$B$1))*0.639+LOG10(Ввод!$B$1)*0.409,0.409)*LN(1.8*(ABS(E18-E16)/(A18-A16)))))/1.8)</f>
        <v/>
      </c>
      <c r="H17" s="6">
        <f>IF(OR(ISBLANK(B17),ISBLANK(C17)),"",ABS(B17-C17))</f>
        <v/>
      </c>
      <c r="I17" s="6">
        <f>(1/SQRT(2))*SQRT(G17^2-F17^2/2)</f>
        <v/>
      </c>
      <c r="J17" s="6">
        <f>0.84*G17</f>
        <v/>
      </c>
      <c r="K17" s="6">
        <f>IF(OR(ISBLANK(B17),ISBLANK(C17)),"НЕ РАССЧИТАНО",IF(AND(ISNUMBER(H17),ISNUMBER(F17)),IF(H17&lt;=F17,"OK","НЕ СООТВЕТСТВУЕТ"),"НЕ РАССЧИТАНО"))</f>
        <v/>
      </c>
    </row>
    <row r="18">
      <c r="A18" s="2" t="n">
        <v>80</v>
      </c>
      <c r="B18" s="6">
        <f>'Ввод'!C20</f>
        <v/>
      </c>
      <c r="C18" s="6">
        <f>'Ввод'!D20</f>
        <v/>
      </c>
      <c r="D18" s="6">
        <f>IF(OR(ISBLANK(B18),ISBLANK(C18)),B18,MROUND((B18+C18)/2,0.5))</f>
        <v/>
      </c>
      <c r="E18" s="6">
        <f>IF(ISBLANK(D18),"",IF(Ввод!$B$1&lt;1,"P&lt;1 мм — вне диапазона (A7.2)",748.1*IF(Ввод!$B$1&gt;=2,(5.994295-0.972546*LOG10(Ввод!$B$1))/(2663.129-95.76*LOG10(Ввод!$B$1)),(6.761559-0.987672*LOG10(Ввод!$B$1))/(3000.538-43.00*LOG10(Ввод!$B$1)))/(1/(D18+273.1)+0.3861*IF(Ввод!$B$1&gt;=2,(5.994295-0.972546*LOG10(Ввод!$B$1))/(2663.129-95.76*LOG10(Ввод!$B$1)),(6.761559-0.987672*LOG10(Ввод!$B$1))/(3000.538-43.00*LOG10(Ввод!$B$1)))-0.00051606)-273.1))</f>
        <v/>
      </c>
      <c r="F18" s="6">
        <f>IF(OR(ISBLANK(E18),ISBLANK(E19)),"",IF(Ввод!$B$1&lt;=10,(1-LOG10(Ввод!$B$1))*3.0+LOG10(Ввод!$B$1)*2.9,2.9)*(EXP(1)*EXP(IF(Ввод!$B$1&lt;=10,(1-LOG10(Ввод!$B$1))*0.439+LOG10(Ввод!$B$1)*0.24,0.24)+IF(Ввод!$B$1&lt;=10,(1-LOG10(Ввод!$B$1))*0.241+LOG10(Ввод!$B$1)*0.35,0.35)*LN(1.8*(ABS(E19-E17)/(A19-A17)))))/1.8)</f>
        <v/>
      </c>
      <c r="G18" s="6">
        <f>IF(OR(ISBLANK(E18),ISBLANK(E19)),"",IF(Ввод!$B$1&lt;=10,(1-LOG10(Ввод!$B$1))*3.3+LOG10(Ввод!$B$1)*3.1,3.1)*(EXP(1)*EXP(IF(Ввод!$B$1&lt;=10,(1-LOG10(Ввод!$B$1))*0.815+LOG10(Ввод!$B$1)*1.19,1.19)+IF(Ввод!$B$1&lt;=10,(1-LOG10(Ввод!$B$1))*0.639+LOG10(Ввод!$B$1)*0.409,0.409)*LN(1.8*(ABS(E19-E17)/(A19-A17)))))/1.8)</f>
        <v/>
      </c>
      <c r="H18" s="6">
        <f>IF(OR(ISBLANK(B18),ISBLANK(C18)),"",ABS(B18-C18))</f>
        <v/>
      </c>
      <c r="I18" s="6">
        <f>(1/SQRT(2))*SQRT(G18^2-F18^2/2)</f>
        <v/>
      </c>
      <c r="J18" s="6">
        <f>0.84*G18</f>
        <v/>
      </c>
      <c r="K18" s="6">
        <f>IF(OR(ISBLANK(B18),ISBLANK(C18)),"НЕ РАССЧИТАНО",IF(AND(ISNUMBER(H18),ISNUMBER(F18)),IF(H18&lt;=F18,"OK","НЕ СООТВЕТСТВУЕТ"),"НЕ РАССЧИТАНО"))</f>
        <v/>
      </c>
    </row>
    <row r="19">
      <c r="A19" s="2" t="n">
        <v>85</v>
      </c>
      <c r="B19" s="6">
        <f>'Ввод'!C21</f>
        <v/>
      </c>
      <c r="C19" s="6">
        <f>'Ввод'!D21</f>
        <v/>
      </c>
      <c r="D19" s="6">
        <f>IF(OR(ISBLANK(B19),ISBLANK(C19)),B19,MROUND((B19+C19)/2,0.5))</f>
        <v/>
      </c>
      <c r="E19" s="6">
        <f>IF(ISBLANK(D19),"",IF(Ввод!$B$1&lt;1,"P&lt;1 мм — вне диапазона (A7.2)",748.1*IF(Ввод!$B$1&gt;=2,(5.994295-0.972546*LOG10(Ввод!$B$1))/(2663.129-95.76*LOG10(Ввод!$B$1)),(6.761559-0.987672*LOG10(Ввод!$B$1))/(3000.538-43.00*LOG10(Ввод!$B$1)))/(1/(D19+273.1)+0.3861*IF(Ввод!$B$1&gt;=2,(5.994295-0.972546*LOG10(Ввод!$B$1))/(2663.129-95.76*LOG10(Ввод!$B$1)),(6.761559-0.987672*LOG10(Ввод!$B$1))/(3000.538-43.00*LOG10(Ввод!$B$1)))-0.00051606)-273.1))</f>
        <v/>
      </c>
      <c r="F19" s="6">
        <f>IF(OR(ISBLANK(E19),ISBLANK(E20)),"",IF(Ввод!$B$1&lt;=10,(1-LOG10(Ввод!$B$1))*3.0+LOG10(Ввод!$B$1)*2.9,2.9)*(EXP(1)*EXP(IF(Ввод!$B$1&lt;=10,(1-LOG10(Ввод!$B$1))*0.439+LOG10(Ввод!$B$1)*0.24,0.24)+IF(Ввод!$B$1&lt;=10,(1-LOG10(Ввод!$B$1))*0.241+LOG10(Ввод!$B$1)*0.35,0.35)*LN(1.8*(ABS(E20-E18)/(A20-A18)))))/1.8)</f>
        <v/>
      </c>
      <c r="G19" s="6">
        <f>IF(OR(ISBLANK(E19),ISBLANK(E20)),"",IF(Ввод!$B$1&lt;=10,(1-LOG10(Ввод!$B$1))*3.3+LOG10(Ввод!$B$1)*3.1,3.1)*(EXP(1)*EXP(IF(Ввод!$B$1&lt;=10,(1-LOG10(Ввод!$B$1))*0.815+LOG10(Ввод!$B$1)*1.19,1.19)+IF(Ввод!$B$1&lt;=10,(1-LOG10(Ввод!$B$1))*0.639+LOG10(Ввод!$B$1)*0.409,0.409)*LN(1.8*(ABS(E20-E18)/(A20-A18)))))/1.8)</f>
        <v/>
      </c>
      <c r="H19" s="6">
        <f>IF(OR(ISBLANK(B19),ISBLANK(C19)),"",ABS(B19-C19))</f>
        <v/>
      </c>
      <c r="I19" s="6">
        <f>(1/SQRT(2))*SQRT(G19^2-F19^2/2)</f>
        <v/>
      </c>
      <c r="J19" s="6">
        <f>0.84*G19</f>
        <v/>
      </c>
      <c r="K19" s="6">
        <f>IF(OR(ISBLANK(B19),ISBLANK(C19)),"НЕ РАССЧИТАНО",IF(AND(ISNUMBER(H19),ISNUMBER(F19)),IF(H19&lt;=F19,"OK","НЕ СООТВЕТСТВУЕТ"),"НЕ РАССЧИТАНО"))</f>
        <v/>
      </c>
    </row>
    <row r="20">
      <c r="A20" s="2" t="n">
        <v>90</v>
      </c>
      <c r="B20" s="6">
        <f>'Ввод'!C22</f>
        <v/>
      </c>
      <c r="C20" s="6">
        <f>'Ввод'!D22</f>
        <v/>
      </c>
      <c r="D20" s="6">
        <f>IF(OR(ISBLANK(B20),ISBLANK(C20)),B20,MROUND((B20+C20)/2,0.5))</f>
        <v/>
      </c>
      <c r="E20" s="6">
        <f>IF(ISBLANK(D20),"",IF(Ввод!$B$1&lt;1,"P&lt;1 мм — вне диапазона (A7.2)",748.1*IF(Ввод!$B$1&gt;=2,(5.994295-0.972546*LOG10(Ввод!$B$1))/(2663.129-95.76*LOG10(Ввод!$B$1)),(6.761559-0.987672*LOG10(Ввод!$B$1))/(3000.538-43.00*LOG10(Ввод!$B$1)))/(1/(D20+273.1)+0.3861*IF(Ввод!$B$1&gt;=2,(5.994295-0.972546*LOG10(Ввод!$B$1))/(2663.129-95.76*LOG10(Ввод!$B$1)),(6.761559-0.987672*LOG10(Ввод!$B$1))/(3000.538-43.00*LOG10(Ввод!$B$1)))-0.00051606)-273.1))</f>
        <v/>
      </c>
      <c r="F20" s="6">
        <f>IF(OR(ISBLANK(E20),ISBLANK(E21)),"",IF(Ввод!$B$1&lt;=10,(1-LOG10(Ввод!$B$1))*3.0+LOG10(Ввод!$B$1)*2.9,2.9)*(EXP(1)*EXP(IF(Ввод!$B$1&lt;=10,(1-LOG10(Ввод!$B$1))*0.439+LOG10(Ввод!$B$1)*0.24,0.24)+IF(Ввод!$B$1&lt;=10,(1-LOG10(Ввод!$B$1))*0.241+LOG10(Ввод!$B$1)*0.35,0.35)*LN(1.8*(ABS(E21-E19)/(A21-A19)))))/1.8)</f>
        <v/>
      </c>
      <c r="G20" s="6">
        <f>IF(OR(ISBLANK(E20),ISBLANK(E21)),"",IF(Ввод!$B$1&lt;=10,(1-LOG10(Ввод!$B$1))*3.3+LOG10(Ввод!$B$1)*3.1,3.1)*(EXP(1)*EXP(IF(Ввод!$B$1&lt;=10,(1-LOG10(Ввод!$B$1))*0.815+LOG10(Ввод!$B$1)*1.19,1.19)+IF(Ввод!$B$1&lt;=10,(1-LOG10(Ввод!$B$1))*0.639+LOG10(Ввод!$B$1)*0.409,0.409)*LN(1.8*(ABS(E21-E19)/(A21-A19)))))/1.8)</f>
        <v/>
      </c>
      <c r="H20" s="6">
        <f>IF(OR(ISBLANK(B20),ISBLANK(C20)),"",ABS(B20-C20))</f>
        <v/>
      </c>
      <c r="I20" s="6">
        <f>(1/SQRT(2))*SQRT(G20^2-F20^2/2)</f>
        <v/>
      </c>
      <c r="J20" s="6">
        <f>0.84*G20</f>
        <v/>
      </c>
      <c r="K20" s="6">
        <f>IF(OR(ISBLANK(B20),ISBLANK(C20)),"НЕ РАССЧИТАНО",IF(AND(ISNUMBER(H20),ISNUMBER(F20)),IF(H20&lt;=F20,"OK","НЕ СООТВЕТСТВУЕТ"),"НЕ РАССЧИТАНО"))</f>
        <v/>
      </c>
    </row>
    <row r="21">
      <c r="A21" s="2" t="n">
        <v>95</v>
      </c>
      <c r="B21" s="6">
        <f>'Ввод'!C23</f>
        <v/>
      </c>
      <c r="C21" s="6">
        <f>'Ввод'!D23</f>
        <v/>
      </c>
      <c r="D21" s="6">
        <f>IF(OR(ISBLANK(B21),ISBLANK(C21)),B21,MROUND((B21+C21)/2,0.5))</f>
        <v/>
      </c>
      <c r="E21" s="6">
        <f>IF(ISBLANK(D21),"",IF(Ввод!$B$1&lt;1,"P&lt;1 мм — вне диапазона (A7.2)",748.1*IF(Ввод!$B$1&gt;=2,(5.994295-0.972546*LOG10(Ввод!$B$1))/(2663.129-95.76*LOG10(Ввод!$B$1)),(6.761559-0.987672*LOG10(Ввод!$B$1))/(3000.538-43.00*LOG10(Ввод!$B$1)))/(1/(D21+273.1)+0.3861*IF(Ввод!$B$1&gt;=2,(5.994295-0.972546*LOG10(Ввод!$B$1))/(2663.129-95.76*LOG10(Ввод!$B$1)),(6.761559-0.987672*LOG10(Ввод!$B$1))/(3000.538-43.00*LOG10(Ввод!$B$1)))-0.00051606)-273.1))</f>
        <v/>
      </c>
      <c r="F21" s="6">
        <f>IF(OR(ISBLANK(E21),ISBLANK(E22)),"",IF(Ввод!$B$1&lt;=10,(1-LOG10(Ввод!$B$1))*3.0+LOG10(Ввод!$B$1)*2.9,2.9)*(EXP(1)*EXP(IF(Ввод!$B$1&lt;=10,(1-LOG10(Ввод!$B$1))*0.439+LOG10(Ввод!$B$1)*0.24,0.24)+IF(Ввод!$B$1&lt;=10,(1-LOG10(Ввод!$B$1))*0.241+LOG10(Ввод!$B$1)*0.35,0.35)*LN(1.8*(ABS(E22-E20)/(A22-A20)))))/1.8)</f>
        <v/>
      </c>
      <c r="G21" s="6">
        <f>IF(OR(ISBLANK(E21),ISBLANK(E22)),"",IF(Ввод!$B$1&lt;=10,(1-LOG10(Ввод!$B$1))*3.3+LOG10(Ввод!$B$1)*3.1,3.1)*(EXP(1)*EXP(IF(Ввод!$B$1&lt;=10,(1-LOG10(Ввод!$B$1))*0.815+LOG10(Ввод!$B$1)*1.19,1.19)+IF(Ввод!$B$1&lt;=10,(1-LOG10(Ввод!$B$1))*0.639+LOG10(Ввод!$B$1)*0.409,0.409)*LN(1.8*(ABS(E22-E20)/(A22-A20)))))/1.8)</f>
        <v/>
      </c>
      <c r="H21" s="6">
        <f>IF(OR(ISBLANK(B21),ISBLANK(C21)),"",ABS(B21-C21))</f>
        <v/>
      </c>
      <c r="I21" s="6">
        <f>(1/SQRT(2))*SQRT(G21^2-F21^2/2)</f>
        <v/>
      </c>
      <c r="J21" s="6">
        <f>0.84*G21</f>
        <v/>
      </c>
      <c r="K21" s="6">
        <f>IF(OR(ISBLANK(B21),ISBLANK(C21)),"НЕ РАССЧИТАНО",IF(AND(ISNUMBER(H21),ISNUMBER(F21)),IF(H21&lt;=F21,"OK","НЕ СООТВЕТСТВУЕТ"),"НЕ РАССЧИТАНО"))</f>
        <v/>
      </c>
    </row>
    <row r="22">
      <c r="A22" s="2" t="n">
        <v>100</v>
      </c>
      <c r="B22" s="6">
        <f>'Ввод'!C24</f>
        <v/>
      </c>
      <c r="C22" s="6">
        <f>'Ввод'!D24</f>
        <v/>
      </c>
      <c r="D22" s="6">
        <f>IF(OR(ISBLANK(B22),ISBLANK(C22)),B22,MROUND((B22+C22)/2,0.5))</f>
        <v/>
      </c>
      <c r="E22" s="6">
        <f>IF(ISBLANK(D22),"",IF(Ввод!$B$1&lt;1,"P&lt;1 мм — вне диапазона (A7.2)",748.1*IF(Ввод!$B$1&gt;=2,(5.994295-0.972546*LOG10(Ввод!$B$1))/(2663.129-95.76*LOG10(Ввод!$B$1)),(6.761559-0.987672*LOG10(Ввод!$B$1))/(3000.538-43.00*LOG10(Ввод!$B$1)))/(1/(D22+273.1)+0.3861*IF(Ввод!$B$1&gt;=2,(5.994295-0.972546*LOG10(Ввод!$B$1))/(2663.129-95.76*LOG10(Ввод!$B$1)),(6.761559-0.987672*LOG10(Ввод!$B$1))/(3000.538-43.00*LOG10(Ввод!$B$1)))-0.00051606)-273.1))</f>
        <v/>
      </c>
      <c r="F22" s="6">
        <f>IF(OR(ISBLANK(E22),ISBLANK(E22)),"",IF(Ввод!$B$1&lt;=10,(1-LOG10(Ввод!$B$1))*2.9+LOG10(Ввод!$B$1)*2.8,2.8)*(EXP(1)*EXP(IF(Ввод!$B$1&lt;=10,(1-LOG10(Ввод!$B$1))*0.718+LOG10(Ввод!$B$1)*1.521,1.521)+IF(Ввод!$B$1&lt;=10,(1-LOG10(Ввод!$B$1))*0+LOG10(Ввод!$B$1)*0,0)*LN(1.8*(ABS(E22-E21)/5))))/1.8)</f>
        <v/>
      </c>
      <c r="G22" s="6">
        <f>IF(OR(ISBLANK(E22),ISBLANK(E22)),"",IF(Ввод!$B$1&lt;=10,(1-LOG10(Ввод!$B$1))*3.0+LOG10(Ввод!$B$1)*2.9,2.9)*(EXP(1)*EXP(IF(Ввод!$B$1&lt;=10,(1-LOG10(Ввод!$B$1))*2.931+LOG10(Ввод!$B$1)*2.815,2.815)+IF(Ввод!$B$1&lt;=10,(1-LOG10(Ввод!$B$1))*0+LOG10(Ввод!$B$1)*0,0)*LN(1.8*(ABS(E22-E21)/5))))/1.8)</f>
        <v/>
      </c>
      <c r="H22" s="6">
        <f>IF(OR(ISBLANK(B22),ISBLANK(C22)),"",ABS(B22-C22))</f>
        <v/>
      </c>
      <c r="I22" s="6">
        <f>(1/SQRT(2))*SQRT(G22^2-F22^2/2)</f>
        <v/>
      </c>
      <c r="J22" s="6">
        <f>0.84*G22</f>
        <v/>
      </c>
      <c r="K22" s="6">
        <f>IF(OR(ISBLANK(B22),ISBLANK(C22)),"НЕ РАССЧИТАНО",IF(AND(ISNUMBER(H22),ISNUMBER(F22)),IF(H22&lt;=F22,"OK","НЕ СООТВЕТСТВУЕТ"),"НЕ РАССЧИТАНО"))</f>
        <v/>
      </c>
    </row>
    <row r="25">
      <c r="A25" s="10" t="inlineStr">
        <is>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 — D1160: пересчёт по AET, фиксация T не используется</t>
        </is>
      </c>
    </row>
    <row r="26">
      <c r="A26" s="1" t="inlineStr">
        <is>
          <t>AET_цель, °C</t>
        </is>
      </c>
      <c r="B26" s="1" t="inlineStr">
        <is>
          <t>T_фикс (н/п для AET)</t>
        </is>
      </c>
      <c r="C26" s="1" t="inlineStr">
        <is>
          <t>—</t>
        </is>
      </c>
      <c r="D26" s="1" t="inlineStr">
        <is>
          <t>V1, мл (проба 1)</t>
        </is>
      </c>
      <c r="E26" s="1" t="inlineStr">
        <is>
          <t>V2, мл (проба 2)</t>
        </is>
      </c>
      <c r="F26" s="1" t="inlineStr">
        <is>
          <t>Vср, %</t>
        </is>
      </c>
      <c r="G26" s="1" t="inlineStr">
        <is>
          <t>r, %</t>
        </is>
      </c>
      <c r="H26" s="1" t="inlineStr">
        <is>
          <t>Статус</t>
        </is>
      </c>
      <c r="I26" s="1" t="inlineStr">
        <is>
          <t>ПОДСКАЗКА</t>
        </is>
      </c>
    </row>
    <row r="27">
      <c r="A27" s="11" t="n"/>
      <c r="B27" s="6" t="inlineStr">
        <is>
          <t>н/п (AET)</t>
        </is>
      </c>
      <c r="C27" s="6" t="inlineStr">
        <is>
          <t>—</t>
        </is>
      </c>
      <c r="D27" s="11" t="n"/>
      <c r="E27" s="11" t="n"/>
      <c r="F27" s="12">
        <f>IF(AND(ISNUMBER(D27),ISNUMBER(E27)),(D27+E27)/2/Ввод!$G$1*100,"")</f>
        <v/>
      </c>
      <c r="G27" s="13">
        <f>IF(AND(ISNUMBER(D27),ISNUMBER(E27),F27&lt;&gt;0),ABS(D27-E27)/(D27+E27)*100,"")</f>
        <v/>
      </c>
      <c r="H27" s="6">
        <f>IF(ISNUMBER(A27),IF(AND(ISNUMBER(D27),ISNUMBER(E27)),"OK","введи V1 и V2"),"—")</f>
        <v/>
      </c>
      <c r="I27" s="8" t="inlineStr">
        <is>
          <t>ВЕТКА 2 (D1160): введите нужный AET (атмосферный эквивалент) в колонке A. Фиксация наблюдаемой T здесь не используется — кривая строится по AET. Объёмы двух параллелей — колонки D/E, Vср, % — колонка F.</t>
        </is>
      </c>
    </row>
    <row r="28">
      <c r="A28" s="11" t="n"/>
      <c r="B28" s="6" t="inlineStr">
        <is>
          <t>н/п (AET)</t>
        </is>
      </c>
      <c r="C28" s="6" t="inlineStr">
        <is>
          <t>—</t>
        </is>
      </c>
      <c r="D28" s="11" t="n"/>
      <c r="E28" s="11" t="n"/>
      <c r="F28" s="12">
        <f>IF(AND(ISNUMBER(D28),ISNUMBER(E28)),(D28+E28)/2/Ввод!$G$1*100,"")</f>
        <v/>
      </c>
      <c r="G28" s="13">
        <f>IF(AND(ISNUMBER(D28),ISNUMBER(E28),F28&lt;&gt;0),ABS(D28-E28)/(D28+E28)*100,"")</f>
        <v/>
      </c>
      <c r="H28" s="6">
        <f>IF(ISNUMBER(A28),IF(AND(ISNUMBER(D28),ISNUMBER(E28)),"OK","введи V1 и V2"),"—")</f>
        <v/>
      </c>
    </row>
    <row r="29">
      <c r="A29" s="11" t="n"/>
      <c r="B29" s="6" t="inlineStr">
        <is>
          <t>н/п (AET)</t>
        </is>
      </c>
      <c r="C29" s="6" t="inlineStr">
        <is>
          <t>—</t>
        </is>
      </c>
      <c r="D29" s="11" t="n"/>
      <c r="E29" s="11" t="n"/>
      <c r="F29" s="12">
        <f>IF(AND(ISNUMBER(D29),ISNUMBER(E29)),(D29+E29)/2/Ввод!$G$1*100,"")</f>
        <v/>
      </c>
      <c r="G29" s="13">
        <f>IF(AND(ISNUMBER(D29),ISNUMBER(E29),F29&lt;&gt;0),ABS(D29-E29)/(D29+E29)*100,"")</f>
        <v/>
      </c>
      <c r="H29" s="6">
        <f>IF(ISNUMBER(A29),IF(AND(ISNUMBER(D29),ISNUMBER(E29)),"OK","введи V1 и V2"),"—")</f>
        <v/>
      </c>
    </row>
    <row r="30">
      <c r="A30" s="11" t="n"/>
      <c r="B30" s="6" t="inlineStr">
        <is>
          <t>н/п (AET)</t>
        </is>
      </c>
      <c r="C30" s="6" t="inlineStr">
        <is>
          <t>—</t>
        </is>
      </c>
      <c r="D30" s="11" t="n"/>
      <c r="E30" s="11" t="n"/>
      <c r="F30" s="12">
        <f>IF(AND(ISNUMBER(D30),ISNUMBER(E30)),(D30+E30)/2/Ввод!$G$1*100,"")</f>
        <v/>
      </c>
      <c r="G30" s="13">
        <f>IF(AND(ISNUMBER(D30),ISNUMBER(E30),F30&lt;&gt;0),ABS(D30-E30)/(D30+E30)*100,"")</f>
        <v/>
      </c>
      <c r="H30" s="6">
        <f>IF(ISNUMBER(A30),IF(AND(ISNUMBER(D30),ISNUMBER(E30)),"OK","введи V1 и V2"),"—")</f>
        <v/>
      </c>
    </row>
    <row r="31">
      <c r="A31" s="11" t="n"/>
      <c r="B31" s="6" t="inlineStr">
        <is>
          <t>н/п (AET)</t>
        </is>
      </c>
      <c r="C31" s="6" t="inlineStr">
        <is>
          <t>—</t>
        </is>
      </c>
      <c r="D31" s="11" t="n"/>
      <c r="E31" s="11" t="n"/>
      <c r="F31" s="12">
        <f>IF(AND(ISNUMBER(D31),ISNUMBER(E31)),(D31+E31)/2/Ввод!$G$1*100,"")</f>
        <v/>
      </c>
      <c r="G31" s="13">
        <f>IF(AND(ISNUMBER(D31),ISNUMBER(E31),F31&lt;&gt;0),ABS(D31-E31)/(D31+E31)*100,"")</f>
        <v/>
      </c>
      <c r="H31" s="6">
        <f>IF(ISNUMBER(A31),IF(AND(ISNUMBER(D31),ISNUMBER(E31)),"OK","введи V1 и V2"),"—")</f>
        <v/>
      </c>
    </row>
    <row r="32">
      <c r="A32" s="11" t="n"/>
      <c r="B32" s="6" t="inlineStr">
        <is>
          <t>н/п (AET)</t>
        </is>
      </c>
      <c r="C32" s="6" t="inlineStr">
        <is>
          <t>—</t>
        </is>
      </c>
      <c r="D32" s="11" t="n"/>
      <c r="E32" s="11" t="n"/>
      <c r="F32" s="12">
        <f>IF(AND(ISNUMBER(D32),ISNUMBER(E32)),(D32+E32)/2/Ввод!$G$1*100,"")</f>
        <v/>
      </c>
      <c r="G32" s="13">
        <f>IF(AND(ISNUMBER(D32),ISNUMBER(E32),F32&lt;&gt;0),ABS(D32-E32)/(D32+E32)*100,"")</f>
        <v/>
      </c>
      <c r="H32" s="6">
        <f>IF(ISNUMBER(A32),IF(AND(ISNUMBER(D32),ISNUMBER(E32)),"OK","введи V1 и V2"),"—")</f>
        <v/>
      </c>
    </row>
    <row r="33">
      <c r="A33" s="11" t="n"/>
      <c r="B33" s="6" t="inlineStr">
        <is>
          <t>н/п (AET)</t>
        </is>
      </c>
      <c r="C33" s="6" t="inlineStr">
        <is>
          <t>—</t>
        </is>
      </c>
      <c r="D33" s="11" t="n"/>
      <c r="E33" s="11" t="n"/>
      <c r="F33" s="12">
        <f>IF(AND(ISNUMBER(D33),ISNUMBER(E33)),(D33+E33)/2/Ввод!$G$1*100,"")</f>
        <v/>
      </c>
      <c r="G33" s="13">
        <f>IF(AND(ISNUMBER(D33),ISNUMBER(E33),F33&lt;&gt;0),ABS(D33-E33)/(D33+E33)*100,"")</f>
        <v/>
      </c>
      <c r="H33" s="6">
        <f>IF(ISNUMBER(A33),IF(AND(ISNUMBER(D33),ISNUMBER(E33)),"OK","введи V1 и V2"),"—")</f>
        <v/>
      </c>
    </row>
    <row r="34">
      <c r="A34" s="11" t="n"/>
      <c r="B34" s="6" t="inlineStr">
        <is>
          <t>н/п (AET)</t>
        </is>
      </c>
      <c r="C34" s="6" t="inlineStr">
        <is>
          <t>—</t>
        </is>
      </c>
      <c r="D34" s="11" t="n"/>
      <c r="E34" s="11" t="n"/>
      <c r="F34" s="12">
        <f>IF(AND(ISNUMBER(D34),ISNUMBER(E34)),(D34+E34)/2/Ввод!$G$1*100,"")</f>
        <v/>
      </c>
      <c r="G34" s="13">
        <f>IF(AND(ISNUMBER(D34),ISNUMBER(E34),F34&lt;&gt;0),ABS(D34-E34)/(D34+E34)*100,"")</f>
        <v/>
      </c>
      <c r="H34" s="6">
        <f>IF(ISNUMBER(A34),IF(AND(ISNUMBER(D34),ISNUMBER(E34)),"OK","введи V1 и V2"),"—")</f>
        <v/>
      </c>
    </row>
    <row r="35">
      <c r="A35" s="11" t="n"/>
      <c r="B35" s="6" t="inlineStr">
        <is>
          <t>н/п (AET)</t>
        </is>
      </c>
      <c r="C35" s="6" t="inlineStr">
        <is>
          <t>—</t>
        </is>
      </c>
      <c r="D35" s="11" t="n"/>
      <c r="E35" s="11" t="n"/>
      <c r="F35" s="12">
        <f>IF(AND(ISNUMBER(D35),ISNUMBER(E35)),(D35+E35)/2/Ввод!$G$1*100,"")</f>
        <v/>
      </c>
      <c r="G35" s="13">
        <f>IF(AND(ISNUMBER(D35),ISNUMBER(E35),F35&lt;&gt;0),ABS(D35-E35)/(D35+E35)*100,"")</f>
        <v/>
      </c>
      <c r="H35" s="6">
        <f>IF(ISNUMBER(A35),IF(AND(ISNUMBER(D35),ISNUMBER(E35)),"OK","введи V1 и V2"),"—")</f>
        <v/>
      </c>
    </row>
    <row r="36">
      <c r="A36" s="11" t="n"/>
      <c r="B36" s="6" t="inlineStr">
        <is>
          <t>н/п (AET)</t>
        </is>
      </c>
      <c r="C36" s="6" t="inlineStr">
        <is>
          <t>—</t>
        </is>
      </c>
      <c r="D36" s="11" t="n"/>
      <c r="E36" s="11" t="n"/>
      <c r="F36" s="12">
        <f>IF(AND(ISNUMBER(D36),ISNUMBER(E36)),(D36+E36)/2/Ввод!$G$1*100,"")</f>
        <v/>
      </c>
      <c r="G36" s="13">
        <f>IF(AND(ISNUMBER(D36),ISNUMBER(E36),F36&lt;&gt;0),ABS(D36-E36)/(D36+E36)*100,"")</f>
        <v/>
      </c>
      <c r="H36" s="6">
        <f>IF(ISNUMBER(A36),IF(AND(ISNUMBER(D36),ISNUMBER(E36)),"OK","введи V1 и V2"),"—")</f>
        <v/>
      </c>
    </row>
    <row r="37">
      <c r="A37" s="11" t="n"/>
      <c r="B37" s="6" t="inlineStr">
        <is>
          <t>н/п (AET)</t>
        </is>
      </c>
      <c r="C37" s="6" t="inlineStr">
        <is>
          <t>—</t>
        </is>
      </c>
      <c r="D37" s="11" t="n"/>
      <c r="E37" s="11" t="n"/>
      <c r="F37" s="12">
        <f>IF(AND(ISNUMBER(D37),ISNUMBER(E37)),(D37+E37)/2/Ввод!$G$1*100,"")</f>
        <v/>
      </c>
      <c r="G37" s="13">
        <f>IF(AND(ISNUMBER(D37),ISNUMBER(E37),F37&lt;&gt;0),ABS(D37-E37)/(D37+E37)*100,"")</f>
        <v/>
      </c>
      <c r="H37" s="6">
        <f>IF(ISNUMBER(A37),IF(AND(ISNUMBER(D37),ISNUMBER(E37)),"OK","введи V1 и V2"),"—")</f>
        <v/>
      </c>
    </row>
    <row r="38">
      <c r="A38" s="11" t="n"/>
      <c r="B38" s="6" t="inlineStr">
        <is>
          <t>н/п (AET)</t>
        </is>
      </c>
      <c r="C38" s="6" t="inlineStr">
        <is>
          <t>—</t>
        </is>
      </c>
      <c r="D38" s="11" t="n"/>
      <c r="E38" s="11" t="n"/>
      <c r="F38" s="12">
        <f>IF(AND(ISNUMBER(D38),ISNUMBER(E38)),(D38+E38)/2/Ввод!$G$1*100,"")</f>
        <v/>
      </c>
      <c r="G38" s="13">
        <f>IF(AND(ISNUMBER(D38),ISNUMBER(E38),F38&lt;&gt;0),ABS(D38-E38)/(D38+E38)*100,"")</f>
        <v/>
      </c>
      <c r="H38" s="6">
        <f>IF(ISNUMBER(A38),IF(AND(ISNUMBER(D38),ISNUMBER(E38)),"OK","введи V1 и V2"),"—")</f>
        <v/>
      </c>
    </row>
    <row r="39">
      <c r="A39" s="11" t="n"/>
      <c r="B39" s="6" t="inlineStr">
        <is>
          <t>н/п (AET)</t>
        </is>
      </c>
      <c r="C39" s="6" t="inlineStr">
        <is>
          <t>—</t>
        </is>
      </c>
      <c r="D39" s="11" t="n"/>
      <c r="E39" s="11" t="n"/>
      <c r="F39" s="12">
        <f>IF(AND(ISNUMBER(D39),ISNUMBER(E39)),(D39+E39)/2/Ввод!$G$1*100,"")</f>
        <v/>
      </c>
      <c r="G39" s="13">
        <f>IF(AND(ISNUMBER(D39),ISNUMBER(E39),F39&lt;&gt;0),ABS(D39-E39)/(D39+E39)*100,"")</f>
        <v/>
      </c>
      <c r="H39" s="6">
        <f>IF(ISNUMBER(A39),IF(AND(ISNUMBER(D39),ISNUMBER(E39)),"OK","введи V1 и V2"),"—")</f>
        <v/>
      </c>
    </row>
    <row r="40">
      <c r="A40" s="11" t="n"/>
      <c r="B40" s="6" t="inlineStr">
        <is>
          <t>н/п (AET)</t>
        </is>
      </c>
      <c r="C40" s="6" t="inlineStr">
        <is>
          <t>—</t>
        </is>
      </c>
      <c r="D40" s="11" t="n"/>
      <c r="E40" s="11" t="n"/>
      <c r="F40" s="12">
        <f>IF(AND(ISNUMBER(D40),ISNUMBER(E40)),(D40+E40)/2/Ввод!$G$1*100,"")</f>
        <v/>
      </c>
      <c r="G40" s="13">
        <f>IF(AND(ISNUMBER(D40),ISNUMBER(E40),F40&lt;&gt;0),ABS(D40-E40)/(D40+E40)*100,"")</f>
        <v/>
      </c>
      <c r="H40" s="6">
        <f>IF(ISNUMBER(A40),IF(AND(ISNUMBER(D40),ISNUMBER(E40)),"OK","введи V1 и V2"),"—")</f>
        <v/>
      </c>
    </row>
    <row r="41">
      <c r="A41" s="11" t="n"/>
      <c r="B41" s="6" t="inlineStr">
        <is>
          <t>н/п (AET)</t>
        </is>
      </c>
      <c r="C41" s="6" t="inlineStr">
        <is>
          <t>—</t>
        </is>
      </c>
      <c r="D41" s="11" t="n"/>
      <c r="E41" s="11" t="n"/>
      <c r="F41" s="12">
        <f>IF(AND(ISNUMBER(D41),ISNUMBER(E41)),(D41+E41)/2/Ввод!$G$1*100,"")</f>
        <v/>
      </c>
      <c r="G41" s="13">
        <f>IF(AND(ISNUMBER(D41),ISNUMBER(E41),F41&lt;&gt;0),ABS(D41-E41)/(D41+E41)*100,"")</f>
        <v/>
      </c>
      <c r="H41" s="6">
        <f>IF(ISNUMBER(A41),IF(AND(ISNUMBER(D41),ISNUMBER(E41)),"OK","введи V1 и V2"),"—")</f>
        <v/>
      </c>
    </row>
    <row r="42">
      <c r="A42" s="11" t="n"/>
      <c r="B42" s="6" t="inlineStr">
        <is>
          <t>н/п (AET)</t>
        </is>
      </c>
      <c r="C42" s="6" t="inlineStr">
        <is>
          <t>—</t>
        </is>
      </c>
      <c r="D42" s="11" t="n"/>
      <c r="E42" s="11" t="n"/>
      <c r="F42" s="12">
        <f>IF(AND(ISNUMBER(D42),ISNUMBER(E42)),(D42+E42)/2/Ввод!$G$1*100,"")</f>
        <v/>
      </c>
      <c r="G42" s="13">
        <f>IF(AND(ISNUMBER(D42),ISNUMBER(E42),F42&lt;&gt;0),ABS(D42-E42)/(D42+E42)*100,"")</f>
        <v/>
      </c>
      <c r="H42" s="6">
        <f>IF(ISNUMBER(A42),IF(AND(ISNUMBER(D42),ISNUMBER(E42)),"OK","введи V1 и V2"),"—")</f>
        <v/>
      </c>
    </row>
    <row r="43">
      <c r="A43" s="11" t="n"/>
      <c r="B43" s="6" t="inlineStr">
        <is>
          <t>н/п (AET)</t>
        </is>
      </c>
      <c r="C43" s="6" t="inlineStr">
        <is>
          <t>—</t>
        </is>
      </c>
      <c r="D43" s="11" t="n"/>
      <c r="E43" s="11" t="n"/>
      <c r="F43" s="12">
        <f>IF(AND(ISNUMBER(D43),ISNUMBER(E43)),(D43+E43)/2/Ввод!$G$1*100,"")</f>
        <v/>
      </c>
      <c r="G43" s="13">
        <f>IF(AND(ISNUMBER(D43),ISNUMBER(E43),F43&lt;&gt;0),ABS(D43-E43)/(D43+E43)*100,"")</f>
        <v/>
      </c>
      <c r="H43" s="6">
        <f>IF(ISNUMBER(A43),IF(AND(ISNUMBER(D43),ISNUMBER(E43)),"OK","введи V1 и V2"),"—")</f>
        <v/>
      </c>
    </row>
    <row r="44">
      <c r="A44" s="11" t="n"/>
      <c r="B44" s="6" t="inlineStr">
        <is>
          <t>н/п (AET)</t>
        </is>
      </c>
      <c r="C44" s="6" t="inlineStr">
        <is>
          <t>—</t>
        </is>
      </c>
      <c r="D44" s="11" t="n"/>
      <c r="E44" s="11" t="n"/>
      <c r="F44" s="12">
        <f>IF(AND(ISNUMBER(D44),ISNUMBER(E44)),(D44+E44)/2/Ввод!$G$1*100,"")</f>
        <v/>
      </c>
      <c r="G44" s="13">
        <f>IF(AND(ISNUMBER(D44),ISNUMBER(E44),F44&lt;&gt;0),ABS(D44-E44)/(D44+E44)*100,"")</f>
        <v/>
      </c>
      <c r="H44" s="6">
        <f>IF(ISNUMBER(A44),IF(AND(ISNUMBER(D44),ISNUMBER(E44)),"OK","введи V1 и V2"),"—")</f>
        <v/>
      </c>
    </row>
    <row r="45">
      <c r="A45" s="11" t="n"/>
      <c r="B45" s="6" t="inlineStr">
        <is>
          <t>н/п (AET)</t>
        </is>
      </c>
      <c r="C45" s="6" t="inlineStr">
        <is>
          <t>—</t>
        </is>
      </c>
      <c r="D45" s="11" t="n"/>
      <c r="E45" s="11" t="n"/>
      <c r="F45" s="12">
        <f>IF(AND(ISNUMBER(D45),ISNUMBER(E45)),(D45+E45)/2/Ввод!$G$1*100,"")</f>
        <v/>
      </c>
      <c r="G45" s="13">
        <f>IF(AND(ISNUMBER(D45),ISNUMBER(E45),F45&lt;&gt;0),ABS(D45-E45)/(D45+E45)*100,"")</f>
        <v/>
      </c>
      <c r="H45" s="6">
        <f>IF(ISNUMBER(A45),IF(AND(ISNUMBER(D45),ISNUMBER(E45)),"OK","введи V1 и V2"),"—")</f>
        <v/>
      </c>
    </row>
    <row r="46">
      <c r="A46" s="11" t="n"/>
      <c r="B46" s="6" t="inlineStr">
        <is>
          <t>н/п (AET)</t>
        </is>
      </c>
      <c r="C46" s="6" t="inlineStr">
        <is>
          <t>—</t>
        </is>
      </c>
      <c r="D46" s="11" t="n"/>
      <c r="E46" s="11" t="n"/>
      <c r="F46" s="12">
        <f>IF(AND(ISNUMBER(D46),ISNUMBER(E46)),(D46+E46)/2/Ввод!$G$1*100,"")</f>
        <v/>
      </c>
      <c r="G46" s="13">
        <f>IF(AND(ISNUMBER(D46),ISNUMBER(E46),F46&lt;&gt;0),ABS(D46-E46)/(D46+E46)*100,"")</f>
        <v/>
      </c>
      <c r="H46" s="6">
        <f>IF(ISNUMBER(A46),IF(AND(ISNUMBER(D46),ISNUMBER(E46)),"OK","введи V1 и V2"),"—")</f>
        <v/>
      </c>
    </row>
    <row r="47">
      <c r="A47" s="11" t="n"/>
      <c r="B47" s="6" t="inlineStr">
        <is>
          <t>н/п (AET)</t>
        </is>
      </c>
      <c r="C47" s="6" t="inlineStr">
        <is>
          <t>—</t>
        </is>
      </c>
      <c r="D47" s="11" t="n"/>
      <c r="E47" s="11" t="n"/>
      <c r="F47" s="12">
        <f>IF(AND(ISNUMBER(D47),ISNUMBER(E47)),(D47+E47)/2/Ввод!$G$1*100,"")</f>
        <v/>
      </c>
      <c r="G47" s="13">
        <f>IF(AND(ISNUMBER(D47),ISNUMBER(E47),F47&lt;&gt;0),ABS(D47-E47)/(D47+E47)*100,"")</f>
        <v/>
      </c>
      <c r="H47" s="6">
        <f>IF(ISNUMBER(A47),IF(AND(ISNUMBER(D47),ISNUMBER(E47)),"OK","введи V1 и V2"),"—")</f>
        <v/>
      </c>
    </row>
    <row r="48">
      <c r="A48" s="8" t="inlineStr">
        <is>
          <t>D1160: кривая строится по AET (Максвелл-Боннелл); заданная температура — AET, фиксация наблюдаемой T требует обратного AET — не применяется. Объёмы двух параллелей — V1/V2 (D/E), Vср, % — (F).</t>
        </is>
      </c>
    </row>
    <row r="50">
      <c r="A50" s="14" t="inlineStr">
        <is>
          <t>АППРОКСИМАЦИЯ КРИВОЙ ВЕТКИ 1 КУБИЧЕСКИМ ПОЛИНОМОМ (T_corr = a3·V³+a2·V²+a1·V+a0; кривая НЕ линейна):</t>
        </is>
      </c>
    </row>
    <row r="51">
      <c r="A51" s="1" t="inlineStr">
        <is>
          <t>a3 (x³)</t>
        </is>
      </c>
      <c r="B51" s="1" t="inlineStr">
        <is>
          <t>a2 (x²)</t>
        </is>
      </c>
      <c r="C51" s="1" t="inlineStr">
        <is>
          <t>a1 (x)</t>
        </is>
      </c>
      <c r="D51" s="1" t="inlineStr">
        <is>
          <t>a0</t>
        </is>
      </c>
    </row>
    <row r="52">
      <c r="A52" s="15">
        <f t="array" ref="A52:D52">LINEST(E$2:E$22,A$2:A$22^{1,2,3})</f>
        <v/>
      </c>
      <c r="B52" s="15" t="n"/>
      <c r="C52" s="15" t="n"/>
      <c r="D52" s="13" t="n"/>
    </row>
    <row r="53">
      <c r="A53" s="1" t="inlineStr">
        <is>
          <t>V, %</t>
        </is>
      </c>
      <c r="B53" s="1" t="inlineStr">
        <is>
          <t>T_corr (эксп.), °C</t>
        </is>
      </c>
      <c r="C53" s="1" t="inlineStr">
        <is>
          <t>T_полином, °C</t>
        </is>
      </c>
      <c r="D53" s="1" t="inlineStr">
        <is>
          <t>Остаток (эксп−полином)</t>
        </is>
      </c>
    </row>
    <row r="54">
      <c r="A54" s="6">
        <f>A2</f>
        <v/>
      </c>
      <c r="B54" s="12">
        <f>E2</f>
        <v/>
      </c>
      <c r="C54" s="12">
        <f>IF(ISNUMBER(E2),$A$52*A54^3+$B$52*A54^2+$C$52*A54+$D$52,"")</f>
        <v/>
      </c>
      <c r="D54" s="12">
        <f>IF(AND(ISNUMBER(E2),ISNUMBER(C54)),E2-C54,"")</f>
        <v/>
      </c>
    </row>
    <row r="55">
      <c r="A55" s="6">
        <f>A3</f>
        <v/>
      </c>
      <c r="B55" s="12">
        <f>E3</f>
        <v/>
      </c>
      <c r="C55" s="12">
        <f>IF(ISNUMBER(E3),$A$52*A55^3+$B$52*A55^2+$C$52*A55+$D$52,"")</f>
        <v/>
      </c>
      <c r="D55" s="12">
        <f>IF(AND(ISNUMBER(E3),ISNUMBER(C55)),E3-C55,"")</f>
        <v/>
      </c>
    </row>
    <row r="56">
      <c r="A56" s="6">
        <f>A4</f>
        <v/>
      </c>
      <c r="B56" s="12">
        <f>E4</f>
        <v/>
      </c>
      <c r="C56" s="12">
        <f>IF(ISNUMBER(E4),$A$52*A56^3+$B$52*A56^2+$C$52*A56+$D$52,"")</f>
        <v/>
      </c>
      <c r="D56" s="12">
        <f>IF(AND(ISNUMBER(E4),ISNUMBER(C56)),E4-C56,"")</f>
        <v/>
      </c>
    </row>
    <row r="57">
      <c r="A57" s="6">
        <f>A5</f>
        <v/>
      </c>
      <c r="B57" s="12">
        <f>E5</f>
        <v/>
      </c>
      <c r="C57" s="12">
        <f>IF(ISNUMBER(E5),$A$52*A57^3+$B$52*A57^2+$C$52*A57+$D$52,"")</f>
        <v/>
      </c>
      <c r="D57" s="12">
        <f>IF(AND(ISNUMBER(E5),ISNUMBER(C57)),E5-C57,"")</f>
        <v/>
      </c>
    </row>
    <row r="58">
      <c r="A58" s="6">
        <f>A6</f>
        <v/>
      </c>
      <c r="B58" s="12">
        <f>E6</f>
        <v/>
      </c>
      <c r="C58" s="12">
        <f>IF(ISNUMBER(E6),$A$52*A58^3+$B$52*A58^2+$C$52*A58+$D$52,"")</f>
        <v/>
      </c>
      <c r="D58" s="12">
        <f>IF(AND(ISNUMBER(E6),ISNUMBER(C58)),E6-C58,"")</f>
        <v/>
      </c>
    </row>
    <row r="59">
      <c r="A59" s="6">
        <f>A7</f>
        <v/>
      </c>
      <c r="B59" s="12">
        <f>E7</f>
        <v/>
      </c>
      <c r="C59" s="12">
        <f>IF(ISNUMBER(E7),$A$52*A59^3+$B$52*A59^2+$C$52*A59+$D$52,"")</f>
        <v/>
      </c>
      <c r="D59" s="12">
        <f>IF(AND(ISNUMBER(E7),ISNUMBER(C59)),E7-C59,"")</f>
        <v/>
      </c>
    </row>
    <row r="60">
      <c r="A60" s="6">
        <f>A8</f>
        <v/>
      </c>
      <c r="B60" s="12">
        <f>E8</f>
        <v/>
      </c>
      <c r="C60" s="12">
        <f>IF(ISNUMBER(E8),$A$52*A60^3+$B$52*A60^2+$C$52*A60+$D$52,"")</f>
        <v/>
      </c>
      <c r="D60" s="12">
        <f>IF(AND(ISNUMBER(E8),ISNUMBER(C60)),E8-C60,"")</f>
        <v/>
      </c>
    </row>
    <row r="61">
      <c r="A61" s="6">
        <f>A9</f>
        <v/>
      </c>
      <c r="B61" s="12">
        <f>E9</f>
        <v/>
      </c>
      <c r="C61" s="12">
        <f>IF(ISNUMBER(E9),$A$52*A61^3+$B$52*A61^2+$C$52*A61+$D$52,"")</f>
        <v/>
      </c>
      <c r="D61" s="12">
        <f>IF(AND(ISNUMBER(E9),ISNUMBER(C61)),E9-C61,"")</f>
        <v/>
      </c>
    </row>
    <row r="62">
      <c r="A62" s="6">
        <f>A10</f>
        <v/>
      </c>
      <c r="B62" s="12">
        <f>E10</f>
        <v/>
      </c>
      <c r="C62" s="12">
        <f>IF(ISNUMBER(E10),$A$52*A62^3+$B$52*A62^2+$C$52*A62+$D$52,"")</f>
        <v/>
      </c>
      <c r="D62" s="12">
        <f>IF(AND(ISNUMBER(E10),ISNUMBER(C62)),E10-C62,"")</f>
        <v/>
      </c>
    </row>
    <row r="63">
      <c r="A63" s="6">
        <f>A11</f>
        <v/>
      </c>
      <c r="B63" s="12">
        <f>E11</f>
        <v/>
      </c>
      <c r="C63" s="12">
        <f>IF(ISNUMBER(E11),$A$52*A63^3+$B$52*A63^2+$C$52*A63+$D$52,"")</f>
        <v/>
      </c>
      <c r="D63" s="12">
        <f>IF(AND(ISNUMBER(E11),ISNUMBER(C63)),E11-C63,"")</f>
        <v/>
      </c>
    </row>
    <row r="64">
      <c r="A64" s="6">
        <f>A12</f>
        <v/>
      </c>
      <c r="B64" s="12">
        <f>E12</f>
        <v/>
      </c>
      <c r="C64" s="12">
        <f>IF(ISNUMBER(E12),$A$52*A64^3+$B$52*A64^2+$C$52*A64+$D$52,"")</f>
        <v/>
      </c>
      <c r="D64" s="12">
        <f>IF(AND(ISNUMBER(E12),ISNUMBER(C64)),E12-C64,"")</f>
        <v/>
      </c>
    </row>
    <row r="65">
      <c r="A65" s="6">
        <f>A13</f>
        <v/>
      </c>
      <c r="B65" s="12">
        <f>E13</f>
        <v/>
      </c>
      <c r="C65" s="12">
        <f>IF(ISNUMBER(E13),$A$52*A65^3+$B$52*A65^2+$C$52*A65+$D$52,"")</f>
        <v/>
      </c>
      <c r="D65" s="12">
        <f>IF(AND(ISNUMBER(E13),ISNUMBER(C65)),E13-C65,"")</f>
        <v/>
      </c>
    </row>
    <row r="66">
      <c r="A66" s="6">
        <f>A14</f>
        <v/>
      </c>
      <c r="B66" s="12">
        <f>E14</f>
        <v/>
      </c>
      <c r="C66" s="12">
        <f>IF(ISNUMBER(E14),$A$52*A66^3+$B$52*A66^2+$C$52*A66+$D$52,"")</f>
        <v/>
      </c>
      <c r="D66" s="12">
        <f>IF(AND(ISNUMBER(E14),ISNUMBER(C66)),E14-C66,"")</f>
        <v/>
      </c>
    </row>
    <row r="67">
      <c r="A67" s="6">
        <f>A15</f>
        <v/>
      </c>
      <c r="B67" s="12">
        <f>E15</f>
        <v/>
      </c>
      <c r="C67" s="12">
        <f>IF(ISNUMBER(E15),$A$52*A67^3+$B$52*A67^2+$C$52*A67+$D$52,"")</f>
        <v/>
      </c>
      <c r="D67" s="12">
        <f>IF(AND(ISNUMBER(E15),ISNUMBER(C67)),E15-C67,"")</f>
        <v/>
      </c>
    </row>
    <row r="68">
      <c r="A68" s="6">
        <f>A16</f>
        <v/>
      </c>
      <c r="B68" s="12">
        <f>E16</f>
        <v/>
      </c>
      <c r="C68" s="12">
        <f>IF(ISNUMBER(E16),$A$52*A68^3+$B$52*A68^2+$C$52*A68+$D$52,"")</f>
        <v/>
      </c>
      <c r="D68" s="12">
        <f>IF(AND(ISNUMBER(E16),ISNUMBER(C68)),E16-C68,"")</f>
        <v/>
      </c>
    </row>
    <row r="69">
      <c r="A69" s="6">
        <f>A17</f>
        <v/>
      </c>
      <c r="B69" s="12">
        <f>E17</f>
        <v/>
      </c>
      <c r="C69" s="12">
        <f>IF(ISNUMBER(E17),$A$52*A69^3+$B$52*A69^2+$C$52*A69+$D$52,"")</f>
        <v/>
      </c>
      <c r="D69" s="12">
        <f>IF(AND(ISNUMBER(E17),ISNUMBER(C69)),E17-C69,"")</f>
        <v/>
      </c>
    </row>
    <row r="70">
      <c r="A70" s="6">
        <f>A18</f>
        <v/>
      </c>
      <c r="B70" s="12">
        <f>E18</f>
        <v/>
      </c>
      <c r="C70" s="12">
        <f>IF(ISNUMBER(E18),$A$52*A70^3+$B$52*A70^2+$C$52*A70+$D$52,"")</f>
        <v/>
      </c>
      <c r="D70" s="12">
        <f>IF(AND(ISNUMBER(E18),ISNUMBER(C70)),E18-C70,"")</f>
        <v/>
      </c>
    </row>
    <row r="71">
      <c r="A71" s="6">
        <f>A19</f>
        <v/>
      </c>
      <c r="B71" s="12">
        <f>E19</f>
        <v/>
      </c>
      <c r="C71" s="12">
        <f>IF(ISNUMBER(E19),$A$52*A71^3+$B$52*A71^2+$C$52*A71+$D$52,"")</f>
        <v/>
      </c>
      <c r="D71" s="12">
        <f>IF(AND(ISNUMBER(E19),ISNUMBER(C71)),E19-C71,"")</f>
        <v/>
      </c>
    </row>
    <row r="72">
      <c r="A72" s="6">
        <f>A20</f>
        <v/>
      </c>
      <c r="B72" s="12">
        <f>E20</f>
        <v/>
      </c>
      <c r="C72" s="12">
        <f>IF(ISNUMBER(E20),$A$52*A72^3+$B$52*A72^2+$C$52*A72+$D$52,"")</f>
        <v/>
      </c>
      <c r="D72" s="12">
        <f>IF(AND(ISNUMBER(E20),ISNUMBER(C72)),E20-C72,"")</f>
        <v/>
      </c>
    </row>
    <row r="73">
      <c r="A73" s="6">
        <f>A21</f>
        <v/>
      </c>
      <c r="B73" s="12">
        <f>E21</f>
        <v/>
      </c>
      <c r="C73" s="12">
        <f>IF(ISNUMBER(E21),$A$52*A73^3+$B$52*A73^2+$C$52*A73+$D$52,"")</f>
        <v/>
      </c>
      <c r="D73" s="12">
        <f>IF(AND(ISNUMBER(E21),ISNUMBER(C73)),E21-C73,"")</f>
        <v/>
      </c>
    </row>
    <row r="74">
      <c r="A74" s="6">
        <f>A22</f>
        <v/>
      </c>
      <c r="B74" s="12">
        <f>E22</f>
        <v/>
      </c>
      <c r="C74" s="12">
        <f>IF(ISNUMBER(E22),$A$52*A74^3+$B$52*A74^2+$C$52*A74+$D$52,"")</f>
        <v/>
      </c>
      <c r="D74" s="12">
        <f>IF(AND(ISNUMBER(E22),ISNUMBER(C74)),E22-C74,"")</f>
        <v/>
      </c>
    </row>
    <row r="75">
      <c r="A75" s="16" t="inlineStr">
        <is>
          <t>R² (эксп vs полином):</t>
        </is>
      </c>
      <c r="B75" s="17">
        <f>RSQ(B54:B74,C54:C74)</f>
        <v/>
      </c>
    </row>
    <row r="76">
      <c r="A76" s="8" t="inlineStr">
        <is>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is>
      </c>
    </row>
    <row r="78">
      <c r="A78" s="14" t="inlineStr">
        <is>
          <t>ВТОРАЯ МОДЕЛЬ (ВЕТКА 2): T_НД = a3·Vср³+a2·Vср²+a1·Vср+a0 по ФАКТИЧЕСКИ ВВЕДЁННЫМ точкам (Vср → T_НД), собранным без пустот:</t>
        </is>
      </c>
    </row>
    <row r="79">
      <c r="A79" s="1" t="inlineStr">
        <is>
          <t>a3 (x³)</t>
        </is>
      </c>
      <c r="B79" s="1" t="inlineStr">
        <is>
          <t>a2 (x²)</t>
        </is>
      </c>
      <c r="C79" s="1" t="inlineStr">
        <is>
          <t>a1 (x)</t>
        </is>
      </c>
      <c r="D79" s="1" t="inlineStr">
        <is>
          <t>a0</t>
        </is>
      </c>
    </row>
    <row r="80">
      <c r="A80" s="15">
        <f t="array" ref="A80:D80">LINEST('График'!B29:B49,'График'!A29:A49^{1,2,3})</f>
        <v/>
      </c>
      <c r="B80" s="15" t="n"/>
      <c r="C80" s="15" t="n"/>
      <c r="D80" s="13" t="n"/>
    </row>
    <row r="81">
      <c r="A81" s="1" t="inlineStr">
        <is>
          <t>Vср, %</t>
        </is>
      </c>
      <c r="B81" s="1" t="inlineStr">
        <is>
          <t>T_НД, °C (из НД, при 760)</t>
        </is>
      </c>
      <c r="C81" s="1" t="inlineStr">
        <is>
          <t>T_полином, °C</t>
        </is>
      </c>
      <c r="D81" s="1" t="inlineStr">
        <is>
          <t>Остаток (T_НД−T_полином)</t>
        </is>
      </c>
    </row>
    <row r="82">
      <c r="A82" s="12">
        <f>'График'!A29</f>
        <v/>
      </c>
      <c r="B82" s="12">
        <f>'График'!B29</f>
        <v/>
      </c>
      <c r="C82" s="12">
        <f>IF(ISNUMBER('График'!B29),$A$80*'График'!A29^3+$B$80*'График'!A29^2+$C$80*'График'!A29+$D$80,"")</f>
        <v/>
      </c>
      <c r="D82" s="12">
        <f>IF(AND(ISNUMBER('График'!B29),ISNUMBER(C82)),'График'!B29-C82,"")</f>
        <v/>
      </c>
    </row>
    <row r="83">
      <c r="A83" s="12">
        <f>'График'!A30</f>
        <v/>
      </c>
      <c r="B83" s="12">
        <f>'График'!B30</f>
        <v/>
      </c>
      <c r="C83" s="12">
        <f>IF(ISNUMBER('График'!B30),$A$80*'График'!A30^3+$B$80*'График'!A30^2+$C$80*'График'!A30+$D$80,"")</f>
        <v/>
      </c>
      <c r="D83" s="12">
        <f>IF(AND(ISNUMBER('График'!B30),ISNUMBER(C83)),'График'!B30-C83,"")</f>
        <v/>
      </c>
    </row>
    <row r="84">
      <c r="A84" s="12">
        <f>'График'!A31</f>
        <v/>
      </c>
      <c r="B84" s="12">
        <f>'График'!B31</f>
        <v/>
      </c>
      <c r="C84" s="12">
        <f>IF(ISNUMBER('График'!B31),$A$80*'График'!A31^3+$B$80*'График'!A31^2+$C$80*'График'!A31+$D$80,"")</f>
        <v/>
      </c>
      <c r="D84" s="12">
        <f>IF(AND(ISNUMBER('График'!B31),ISNUMBER(C84)),'График'!B31-C84,"")</f>
        <v/>
      </c>
    </row>
    <row r="85">
      <c r="A85" s="12">
        <f>'График'!A32</f>
        <v/>
      </c>
      <c r="B85" s="12">
        <f>'График'!B32</f>
        <v/>
      </c>
      <c r="C85" s="12">
        <f>IF(ISNUMBER('График'!B32),$A$80*'График'!A32^3+$B$80*'График'!A32^2+$C$80*'График'!A32+$D$80,"")</f>
        <v/>
      </c>
      <c r="D85" s="12">
        <f>IF(AND(ISNUMBER('График'!B32),ISNUMBER(C85)),'График'!B32-C85,"")</f>
        <v/>
      </c>
    </row>
    <row r="86">
      <c r="A86" s="12">
        <f>'График'!A33</f>
        <v/>
      </c>
      <c r="B86" s="12">
        <f>'График'!B33</f>
        <v/>
      </c>
      <c r="C86" s="12">
        <f>IF(ISNUMBER('График'!B33),$A$80*'График'!A33^3+$B$80*'График'!A33^2+$C$80*'График'!A33+$D$80,"")</f>
        <v/>
      </c>
      <c r="D86" s="12">
        <f>IF(AND(ISNUMBER('График'!B33),ISNUMBER(C86)),'График'!B33-C86,"")</f>
        <v/>
      </c>
    </row>
    <row r="87">
      <c r="A87" s="12">
        <f>'График'!A34</f>
        <v/>
      </c>
      <c r="B87" s="12">
        <f>'График'!B34</f>
        <v/>
      </c>
      <c r="C87" s="12">
        <f>IF(ISNUMBER('График'!B34),$A$80*'График'!A34^3+$B$80*'График'!A34^2+$C$80*'График'!A34+$D$80,"")</f>
        <v/>
      </c>
      <c r="D87" s="12">
        <f>IF(AND(ISNUMBER('График'!B34),ISNUMBER(C87)),'График'!B34-C87,"")</f>
        <v/>
      </c>
    </row>
    <row r="88">
      <c r="A88" s="12">
        <f>'График'!A35</f>
        <v/>
      </c>
      <c r="B88" s="12">
        <f>'График'!B35</f>
        <v/>
      </c>
      <c r="C88" s="12">
        <f>IF(ISNUMBER('График'!B35),$A$80*'График'!A35^3+$B$80*'График'!A35^2+$C$80*'График'!A35+$D$80,"")</f>
        <v/>
      </c>
      <c r="D88" s="12">
        <f>IF(AND(ISNUMBER('График'!B35),ISNUMBER(C88)),'График'!B35-C88,"")</f>
        <v/>
      </c>
    </row>
    <row r="89">
      <c r="A89" s="12">
        <f>'График'!A36</f>
        <v/>
      </c>
      <c r="B89" s="12">
        <f>'График'!B36</f>
        <v/>
      </c>
      <c r="C89" s="12">
        <f>IF(ISNUMBER('График'!B36),$A$80*'График'!A36^3+$B$80*'График'!A36^2+$C$80*'График'!A36+$D$80,"")</f>
        <v/>
      </c>
      <c r="D89" s="12">
        <f>IF(AND(ISNUMBER('График'!B36),ISNUMBER(C89)),'График'!B36-C89,"")</f>
        <v/>
      </c>
    </row>
    <row r="90">
      <c r="A90" s="12">
        <f>'График'!A37</f>
        <v/>
      </c>
      <c r="B90" s="12">
        <f>'График'!B37</f>
        <v/>
      </c>
      <c r="C90" s="12">
        <f>IF(ISNUMBER('График'!B37),$A$80*'График'!A37^3+$B$80*'График'!A37^2+$C$80*'График'!A37+$D$80,"")</f>
        <v/>
      </c>
      <c r="D90" s="12">
        <f>IF(AND(ISNUMBER('График'!B37),ISNUMBER(C90)),'График'!B37-C90,"")</f>
        <v/>
      </c>
    </row>
    <row r="91">
      <c r="A91" s="12">
        <f>'График'!A38</f>
        <v/>
      </c>
      <c r="B91" s="12">
        <f>'График'!B38</f>
        <v/>
      </c>
      <c r="C91" s="12">
        <f>IF(ISNUMBER('График'!B38),$A$80*'График'!A38^3+$B$80*'График'!A38^2+$C$80*'График'!A38+$D$80,"")</f>
        <v/>
      </c>
      <c r="D91" s="12">
        <f>IF(AND(ISNUMBER('График'!B38),ISNUMBER(C91)),'График'!B38-C91,"")</f>
        <v/>
      </c>
    </row>
    <row r="92">
      <c r="A92" s="12">
        <f>'График'!A39</f>
        <v/>
      </c>
      <c r="B92" s="12">
        <f>'График'!B39</f>
        <v/>
      </c>
      <c r="C92" s="12">
        <f>IF(ISNUMBER('График'!B39),$A$80*'График'!A39^3+$B$80*'График'!A39^2+$C$80*'График'!A39+$D$80,"")</f>
        <v/>
      </c>
      <c r="D92" s="12">
        <f>IF(AND(ISNUMBER('График'!B39),ISNUMBER(C92)),'График'!B39-C92,"")</f>
        <v/>
      </c>
    </row>
    <row r="93">
      <c r="A93" s="12">
        <f>'График'!A40</f>
        <v/>
      </c>
      <c r="B93" s="12">
        <f>'График'!B40</f>
        <v/>
      </c>
      <c r="C93" s="12">
        <f>IF(ISNUMBER('График'!B40),$A$80*'График'!A40^3+$B$80*'График'!A40^2+$C$80*'График'!A40+$D$80,"")</f>
        <v/>
      </c>
      <c r="D93" s="12">
        <f>IF(AND(ISNUMBER('График'!B40),ISNUMBER(C93)),'График'!B40-C93,"")</f>
        <v/>
      </c>
    </row>
    <row r="94">
      <c r="A94" s="12">
        <f>'График'!A41</f>
        <v/>
      </c>
      <c r="B94" s="12">
        <f>'График'!B41</f>
        <v/>
      </c>
      <c r="C94" s="12">
        <f>IF(ISNUMBER('График'!B41),$A$80*'График'!A41^3+$B$80*'График'!A41^2+$C$80*'График'!A41+$D$80,"")</f>
        <v/>
      </c>
      <c r="D94" s="12">
        <f>IF(AND(ISNUMBER('График'!B41),ISNUMBER(C94)),'График'!B41-C94,"")</f>
        <v/>
      </c>
    </row>
    <row r="95">
      <c r="A95" s="12">
        <f>'График'!A42</f>
        <v/>
      </c>
      <c r="B95" s="12">
        <f>'График'!B42</f>
        <v/>
      </c>
      <c r="C95" s="12">
        <f>IF(ISNUMBER('График'!B42),$A$80*'График'!A42^3+$B$80*'График'!A42^2+$C$80*'График'!A42+$D$80,"")</f>
        <v/>
      </c>
      <c r="D95" s="12">
        <f>IF(AND(ISNUMBER('График'!B42),ISNUMBER(C95)),'График'!B42-C95,"")</f>
        <v/>
      </c>
    </row>
    <row r="96">
      <c r="A96" s="12">
        <f>'График'!A43</f>
        <v/>
      </c>
      <c r="B96" s="12">
        <f>'График'!B43</f>
        <v/>
      </c>
      <c r="C96" s="12">
        <f>IF(ISNUMBER('График'!B43),$A$80*'График'!A43^3+$B$80*'График'!A43^2+$C$80*'График'!A43+$D$80,"")</f>
        <v/>
      </c>
      <c r="D96" s="12">
        <f>IF(AND(ISNUMBER('График'!B43),ISNUMBER(C96)),'График'!B43-C96,"")</f>
        <v/>
      </c>
    </row>
    <row r="97">
      <c r="A97" s="12">
        <f>'График'!A44</f>
        <v/>
      </c>
      <c r="B97" s="12">
        <f>'График'!B44</f>
        <v/>
      </c>
      <c r="C97" s="12">
        <f>IF(ISNUMBER('График'!B44),$A$80*'График'!A44^3+$B$80*'График'!A44^2+$C$80*'График'!A44+$D$80,"")</f>
        <v/>
      </c>
      <c r="D97" s="12">
        <f>IF(AND(ISNUMBER('График'!B44),ISNUMBER(C97)),'График'!B44-C97,"")</f>
        <v/>
      </c>
    </row>
    <row r="98">
      <c r="A98" s="12">
        <f>'График'!A45</f>
        <v/>
      </c>
      <c r="B98" s="12">
        <f>'График'!B45</f>
        <v/>
      </c>
      <c r="C98" s="12">
        <f>IF(ISNUMBER('График'!B45),$A$80*'График'!A45^3+$B$80*'График'!A45^2+$C$80*'График'!A45+$D$80,"")</f>
        <v/>
      </c>
      <c r="D98" s="12">
        <f>IF(AND(ISNUMBER('График'!B45),ISNUMBER(C98)),'График'!B45-C98,"")</f>
        <v/>
      </c>
    </row>
    <row r="99">
      <c r="A99" s="12">
        <f>'График'!A46</f>
        <v/>
      </c>
      <c r="B99" s="12">
        <f>'График'!B46</f>
        <v/>
      </c>
      <c r="C99" s="12">
        <f>IF(ISNUMBER('График'!B46),$A$80*'График'!A46^3+$B$80*'График'!A46^2+$C$80*'График'!A46+$D$80,"")</f>
        <v/>
      </c>
      <c r="D99" s="12">
        <f>IF(AND(ISNUMBER('График'!B46),ISNUMBER(C99)),'График'!B46-C99,"")</f>
        <v/>
      </c>
    </row>
    <row r="100">
      <c r="A100" s="12">
        <f>'График'!A47</f>
        <v/>
      </c>
      <c r="B100" s="12">
        <f>'График'!B47</f>
        <v/>
      </c>
      <c r="C100" s="12">
        <f>IF(ISNUMBER('График'!B47),$A$80*'График'!A47^3+$B$80*'График'!A47^2+$C$80*'График'!A47+$D$80,"")</f>
        <v/>
      </c>
      <c r="D100" s="12">
        <f>IF(AND(ISNUMBER('График'!B47),ISNUMBER(C100)),'График'!B47-C100,"")</f>
        <v/>
      </c>
    </row>
    <row r="101">
      <c r="A101" s="12">
        <f>'График'!A48</f>
        <v/>
      </c>
      <c r="B101" s="12">
        <f>'График'!B48</f>
        <v/>
      </c>
      <c r="C101" s="12">
        <f>IF(ISNUMBER('График'!B48),$A$80*'График'!A48^3+$B$80*'График'!A48^2+$C$80*'График'!A48+$D$80,"")</f>
        <v/>
      </c>
      <c r="D101" s="12">
        <f>IF(AND(ISNUMBER('График'!B48),ISNUMBER(C101)),'График'!B48-C101,"")</f>
        <v/>
      </c>
    </row>
    <row r="102">
      <c r="A102" s="12">
        <f>'График'!A49</f>
        <v/>
      </c>
      <c r="B102" s="12">
        <f>'График'!B49</f>
        <v/>
      </c>
      <c r="C102" s="12">
        <f>IF(ISNUMBER('График'!B49),$A$80*'График'!A49^3+$B$80*'График'!A49^2+$C$80*'График'!A49+$D$80,"")</f>
        <v/>
      </c>
      <c r="D102" s="12">
        <f>IF(AND(ISNUMBER('График'!B49),ISNUMBER(C102)),'График'!B49-C102,"")</f>
        <v/>
      </c>
    </row>
    <row r="103">
      <c r="A103" s="16" t="inlineStr">
        <is>
          <t>R² (T_НД vs полином Ветки 2):</t>
        </is>
      </c>
      <c r="B103" s="17">
        <f>RSQ(B82:B102,C82:C102)</f>
        <v/>
      </c>
    </row>
    <row r="104">
      <c r="A104" s="8" t="inlineStr">
        <is>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s>
  <sheetData>
    <row r="1">
      <c r="A1" s="1" t="inlineStr">
        <is>
          <t>ИТОГ расчёта D1160</t>
        </is>
      </c>
    </row>
    <row r="2">
      <c r="A2" s="3" t="inlineStr">
        <is>
          <t>Давление, мм рт.ст.</t>
        </is>
      </c>
      <c r="B2" s="6">
        <f>'Ввод'!B1</f>
        <v/>
      </c>
    </row>
    <row r="3">
      <c r="A3" s="3" t="inlineStr">
        <is>
          <t>Объём образца, мл</t>
        </is>
      </c>
      <c r="B3" s="6">
        <f>'Ввод'!G1</f>
        <v/>
      </c>
    </row>
    <row r="5">
      <c r="A5" s="1" t="inlineStr">
        <is>
          <t>% отгона</t>
        </is>
      </c>
      <c r="B5" s="1" t="inlineStr">
        <is>
          <t>T1</t>
        </is>
      </c>
      <c r="C5" s="1" t="inlineStr">
        <is>
          <t>T2</t>
        </is>
      </c>
      <c r="D5" s="1" t="inlineStr">
        <is>
          <t>T_corr</t>
        </is>
      </c>
      <c r="E5" s="1" t="inlineStr">
        <is>
          <t>r</t>
        </is>
      </c>
      <c r="F5" s="1" t="inlineStr">
        <is>
          <t>R</t>
        </is>
      </c>
      <c r="G5" s="1" t="inlineStr">
        <is>
          <t>Статус</t>
        </is>
      </c>
    </row>
    <row r="6">
      <c r="A6" s="6">
        <f>'Расчёт'!A2</f>
        <v/>
      </c>
      <c r="B6" s="6">
        <f>'Расчёт'!B2</f>
        <v/>
      </c>
      <c r="C6" s="6">
        <f>'Расчёт'!C2</f>
        <v/>
      </c>
      <c r="D6" s="6">
        <f>'Расчёт'!E2</f>
        <v/>
      </c>
      <c r="E6" s="6">
        <f>'Расчёт'!F2</f>
        <v/>
      </c>
      <c r="F6" s="6">
        <f>'Расчёт'!G2</f>
        <v/>
      </c>
      <c r="G6" s="6">
        <f>'Расчёт'!K2</f>
        <v/>
      </c>
    </row>
    <row r="7">
      <c r="A7" s="6">
        <f>'Расчёт'!A3</f>
        <v/>
      </c>
      <c r="B7" s="6">
        <f>'Расчёт'!B3</f>
        <v/>
      </c>
      <c r="C7" s="6">
        <f>'Расчёт'!C3</f>
        <v/>
      </c>
      <c r="D7" s="6">
        <f>'Расчёт'!E3</f>
        <v/>
      </c>
      <c r="E7" s="6">
        <f>'Расчёт'!F3</f>
        <v/>
      </c>
      <c r="F7" s="6">
        <f>'Расчёт'!G3</f>
        <v/>
      </c>
      <c r="G7" s="6">
        <f>'Расчёт'!K3</f>
        <v/>
      </c>
    </row>
    <row r="8">
      <c r="A8" s="6">
        <f>'Расчёт'!A4</f>
        <v/>
      </c>
      <c r="B8" s="6">
        <f>'Расчёт'!B4</f>
        <v/>
      </c>
      <c r="C8" s="6">
        <f>'Расчёт'!C4</f>
        <v/>
      </c>
      <c r="D8" s="6">
        <f>'Расчёт'!E4</f>
        <v/>
      </c>
      <c r="E8" s="6">
        <f>'Расчёт'!F4</f>
        <v/>
      </c>
      <c r="F8" s="6">
        <f>'Расчёт'!G4</f>
        <v/>
      </c>
      <c r="G8" s="6">
        <f>'Расчёт'!K4</f>
        <v/>
      </c>
    </row>
    <row r="9">
      <c r="A9" s="6">
        <f>'Расчёт'!A5</f>
        <v/>
      </c>
      <c r="B9" s="6">
        <f>'Расчёт'!B5</f>
        <v/>
      </c>
      <c r="C9" s="6">
        <f>'Расчёт'!C5</f>
        <v/>
      </c>
      <c r="D9" s="6">
        <f>'Расчёт'!E5</f>
        <v/>
      </c>
      <c r="E9" s="6">
        <f>'Расчёт'!F5</f>
        <v/>
      </c>
      <c r="F9" s="6">
        <f>'Расчёт'!G5</f>
        <v/>
      </c>
      <c r="G9" s="6">
        <f>'Расчёт'!K5</f>
        <v/>
      </c>
    </row>
    <row r="10">
      <c r="A10" s="6">
        <f>'Расчёт'!A6</f>
        <v/>
      </c>
      <c r="B10" s="6">
        <f>'Расчёт'!B6</f>
        <v/>
      </c>
      <c r="C10" s="6">
        <f>'Расчёт'!C6</f>
        <v/>
      </c>
      <c r="D10" s="6">
        <f>'Расчёт'!E6</f>
        <v/>
      </c>
      <c r="E10" s="6">
        <f>'Расчёт'!F6</f>
        <v/>
      </c>
      <c r="F10" s="6">
        <f>'Расчёт'!G6</f>
        <v/>
      </c>
      <c r="G10" s="6">
        <f>'Расчёт'!K6</f>
        <v/>
      </c>
    </row>
    <row r="11">
      <c r="A11" s="6">
        <f>'Расчёт'!A7</f>
        <v/>
      </c>
      <c r="B11" s="6">
        <f>'Расчёт'!B7</f>
        <v/>
      </c>
      <c r="C11" s="6">
        <f>'Расчёт'!C7</f>
        <v/>
      </c>
      <c r="D11" s="6">
        <f>'Расчёт'!E7</f>
        <v/>
      </c>
      <c r="E11" s="6">
        <f>'Расчёт'!F7</f>
        <v/>
      </c>
      <c r="F11" s="6">
        <f>'Расчёт'!G7</f>
        <v/>
      </c>
      <c r="G11" s="6">
        <f>'Расчёт'!K7</f>
        <v/>
      </c>
    </row>
    <row r="12">
      <c r="A12" s="6">
        <f>'Расчёт'!A8</f>
        <v/>
      </c>
      <c r="B12" s="6">
        <f>'Расчёт'!B8</f>
        <v/>
      </c>
      <c r="C12" s="6">
        <f>'Расчёт'!C8</f>
        <v/>
      </c>
      <c r="D12" s="6">
        <f>'Расчёт'!E8</f>
        <v/>
      </c>
      <c r="E12" s="6">
        <f>'Расчёт'!F8</f>
        <v/>
      </c>
      <c r="F12" s="6">
        <f>'Расчёт'!G8</f>
        <v/>
      </c>
      <c r="G12" s="6">
        <f>'Расчёт'!K8</f>
        <v/>
      </c>
    </row>
    <row r="13">
      <c r="A13" s="6">
        <f>'Расчёт'!A9</f>
        <v/>
      </c>
      <c r="B13" s="6">
        <f>'Расчёт'!B9</f>
        <v/>
      </c>
      <c r="C13" s="6">
        <f>'Расчёт'!C9</f>
        <v/>
      </c>
      <c r="D13" s="6">
        <f>'Расчёт'!E9</f>
        <v/>
      </c>
      <c r="E13" s="6">
        <f>'Расчёт'!F9</f>
        <v/>
      </c>
      <c r="F13" s="6">
        <f>'Расчёт'!G9</f>
        <v/>
      </c>
      <c r="G13" s="6">
        <f>'Расчёт'!K9</f>
        <v/>
      </c>
    </row>
    <row r="14">
      <c r="A14" s="6">
        <f>'Расчёт'!A10</f>
        <v/>
      </c>
      <c r="B14" s="6">
        <f>'Расчёт'!B10</f>
        <v/>
      </c>
      <c r="C14" s="6">
        <f>'Расчёт'!C10</f>
        <v/>
      </c>
      <c r="D14" s="6">
        <f>'Расчёт'!E10</f>
        <v/>
      </c>
      <c r="E14" s="6">
        <f>'Расчёт'!F10</f>
        <v/>
      </c>
      <c r="F14" s="6">
        <f>'Расчёт'!G10</f>
        <v/>
      </c>
      <c r="G14" s="6">
        <f>'Расчёт'!K10</f>
        <v/>
      </c>
    </row>
    <row r="15">
      <c r="A15" s="6">
        <f>'Расчёт'!A11</f>
        <v/>
      </c>
      <c r="B15" s="6">
        <f>'Расчёт'!B11</f>
        <v/>
      </c>
      <c r="C15" s="6">
        <f>'Расчёт'!C11</f>
        <v/>
      </c>
      <c r="D15" s="6">
        <f>'Расчёт'!E11</f>
        <v/>
      </c>
      <c r="E15" s="6">
        <f>'Расчёт'!F11</f>
        <v/>
      </c>
      <c r="F15" s="6">
        <f>'Расчёт'!G11</f>
        <v/>
      </c>
      <c r="G15" s="6">
        <f>'Расчёт'!K11</f>
        <v/>
      </c>
    </row>
    <row r="16">
      <c r="A16" s="6">
        <f>'Расчёт'!A12</f>
        <v/>
      </c>
      <c r="B16" s="6">
        <f>'Расчёт'!B12</f>
        <v/>
      </c>
      <c r="C16" s="6">
        <f>'Расчёт'!C12</f>
        <v/>
      </c>
      <c r="D16" s="6">
        <f>'Расчёт'!E12</f>
        <v/>
      </c>
      <c r="E16" s="6">
        <f>'Расчёт'!F12</f>
        <v/>
      </c>
      <c r="F16" s="6">
        <f>'Расчёт'!G12</f>
        <v/>
      </c>
      <c r="G16" s="6">
        <f>'Расчёт'!K12</f>
        <v/>
      </c>
    </row>
    <row r="17">
      <c r="A17" s="6">
        <f>'Расчёт'!A13</f>
        <v/>
      </c>
      <c r="B17" s="6">
        <f>'Расчёт'!B13</f>
        <v/>
      </c>
      <c r="C17" s="6">
        <f>'Расчёт'!C13</f>
        <v/>
      </c>
      <c r="D17" s="6">
        <f>'Расчёт'!E13</f>
        <v/>
      </c>
      <c r="E17" s="6">
        <f>'Расчёт'!F13</f>
        <v/>
      </c>
      <c r="F17" s="6">
        <f>'Расчёт'!G13</f>
        <v/>
      </c>
      <c r="G17" s="6">
        <f>'Расчёт'!K13</f>
        <v/>
      </c>
    </row>
    <row r="18">
      <c r="A18" s="6">
        <f>'Расчёт'!A14</f>
        <v/>
      </c>
      <c r="B18" s="6">
        <f>'Расчёт'!B14</f>
        <v/>
      </c>
      <c r="C18" s="6">
        <f>'Расчёт'!C14</f>
        <v/>
      </c>
      <c r="D18" s="6">
        <f>'Расчёт'!E14</f>
        <v/>
      </c>
      <c r="E18" s="6">
        <f>'Расчёт'!F14</f>
        <v/>
      </c>
      <c r="F18" s="6">
        <f>'Расчёт'!G14</f>
        <v/>
      </c>
      <c r="G18" s="6">
        <f>'Расчёт'!K14</f>
        <v/>
      </c>
    </row>
    <row r="19">
      <c r="A19" s="6">
        <f>'Расчёт'!A15</f>
        <v/>
      </c>
      <c r="B19" s="6">
        <f>'Расчёт'!B15</f>
        <v/>
      </c>
      <c r="C19" s="6">
        <f>'Расчёт'!C15</f>
        <v/>
      </c>
      <c r="D19" s="6">
        <f>'Расчёт'!E15</f>
        <v/>
      </c>
      <c r="E19" s="6">
        <f>'Расчёт'!F15</f>
        <v/>
      </c>
      <c r="F19" s="6">
        <f>'Расчёт'!G15</f>
        <v/>
      </c>
      <c r="G19" s="6">
        <f>'Расчёт'!K15</f>
        <v/>
      </c>
    </row>
    <row r="20">
      <c r="A20" s="6">
        <f>'Расчёт'!A16</f>
        <v/>
      </c>
      <c r="B20" s="6">
        <f>'Расчёт'!B16</f>
        <v/>
      </c>
      <c r="C20" s="6">
        <f>'Расчёт'!C16</f>
        <v/>
      </c>
      <c r="D20" s="6">
        <f>'Расчёт'!E16</f>
        <v/>
      </c>
      <c r="E20" s="6">
        <f>'Расчёт'!F16</f>
        <v/>
      </c>
      <c r="F20" s="6">
        <f>'Расчёт'!G16</f>
        <v/>
      </c>
      <c r="G20" s="6">
        <f>'Расчёт'!K16</f>
        <v/>
      </c>
    </row>
    <row r="21">
      <c r="A21" s="6">
        <f>'Расчёт'!A17</f>
        <v/>
      </c>
      <c r="B21" s="6">
        <f>'Расчёт'!B17</f>
        <v/>
      </c>
      <c r="C21" s="6">
        <f>'Расчёт'!C17</f>
        <v/>
      </c>
      <c r="D21" s="6">
        <f>'Расчёт'!E17</f>
        <v/>
      </c>
      <c r="E21" s="6">
        <f>'Расчёт'!F17</f>
        <v/>
      </c>
      <c r="F21" s="6">
        <f>'Расчёт'!G17</f>
        <v/>
      </c>
      <c r="G21" s="6">
        <f>'Расчёт'!K17</f>
        <v/>
      </c>
    </row>
    <row r="22">
      <c r="A22" s="6">
        <f>'Расчёт'!A18</f>
        <v/>
      </c>
      <c r="B22" s="6">
        <f>'Расчёт'!B18</f>
        <v/>
      </c>
      <c r="C22" s="6">
        <f>'Расчёт'!C18</f>
        <v/>
      </c>
      <c r="D22" s="6">
        <f>'Расчёт'!E18</f>
        <v/>
      </c>
      <c r="E22" s="6">
        <f>'Расчёт'!F18</f>
        <v/>
      </c>
      <c r="F22" s="6">
        <f>'Расчёт'!G18</f>
        <v/>
      </c>
      <c r="G22" s="6">
        <f>'Расчёт'!K18</f>
        <v/>
      </c>
    </row>
    <row r="23">
      <c r="A23" s="6">
        <f>'Расчёт'!A19</f>
        <v/>
      </c>
      <c r="B23" s="6">
        <f>'Расчёт'!B19</f>
        <v/>
      </c>
      <c r="C23" s="6">
        <f>'Расчёт'!C19</f>
        <v/>
      </c>
      <c r="D23" s="6">
        <f>'Расчёт'!E19</f>
        <v/>
      </c>
      <c r="E23" s="6">
        <f>'Расчёт'!F19</f>
        <v/>
      </c>
      <c r="F23" s="6">
        <f>'Расчёт'!G19</f>
        <v/>
      </c>
      <c r="G23" s="6">
        <f>'Расчёт'!K19</f>
        <v/>
      </c>
    </row>
    <row r="24">
      <c r="A24" s="6">
        <f>'Расчёт'!A20</f>
        <v/>
      </c>
      <c r="B24" s="6">
        <f>'Расчёт'!B20</f>
        <v/>
      </c>
      <c r="C24" s="6">
        <f>'Расчёт'!C20</f>
        <v/>
      </c>
      <c r="D24" s="6">
        <f>'Расчёт'!E20</f>
        <v/>
      </c>
      <c r="E24" s="6">
        <f>'Расчёт'!F20</f>
        <v/>
      </c>
      <c r="F24" s="6">
        <f>'Расчёт'!G20</f>
        <v/>
      </c>
      <c r="G24" s="6">
        <f>'Расчёт'!K20</f>
        <v/>
      </c>
    </row>
    <row r="25">
      <c r="A25" s="6">
        <f>'Расчёт'!A21</f>
        <v/>
      </c>
      <c r="B25" s="6">
        <f>'Расчёт'!B21</f>
        <v/>
      </c>
      <c r="C25" s="6">
        <f>'Расчёт'!C21</f>
        <v/>
      </c>
      <c r="D25" s="6">
        <f>'Расчёт'!E21</f>
        <v/>
      </c>
      <c r="E25" s="6">
        <f>'Расчёт'!F21</f>
        <v/>
      </c>
      <c r="F25" s="6">
        <f>'Расчёт'!G21</f>
        <v/>
      </c>
      <c r="G25" s="6">
        <f>'Расчёт'!K21</f>
        <v/>
      </c>
    </row>
    <row r="26">
      <c r="A26" s="6">
        <f>'Расчёт'!A22</f>
        <v/>
      </c>
      <c r="B26" s="6">
        <f>'Расчёт'!B22</f>
        <v/>
      </c>
      <c r="C26" s="6">
        <f>'Расчёт'!C22</f>
        <v/>
      </c>
      <c r="D26" s="6">
        <f>'Расчёт'!E22</f>
        <v/>
      </c>
      <c r="E26" s="6">
        <f>'Расчёт'!F22</f>
        <v/>
      </c>
      <c r="F26" s="6">
        <f>'Расчёт'!G22</f>
        <v/>
      </c>
      <c r="G26" s="6">
        <f>'Расчёт'!K22</f>
        <v/>
      </c>
    </row>
    <row r="28">
      <c r="A28" s="8" t="inlineStr">
        <is>
          <t>Обратный пересчёт T-&gt;V (коррекция давления ДО) и V-&gt;T (коррекция ПОСЛЕ) — в листе «Расчёт»</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Графики дистилляции (D1160). Диаграмма 1 — Ветка 1 (% отгона → T_corr + полином); Диаграмма 2 — Ветка 2 (Vср, % → T_НД + полином).</t>
        </is>
      </c>
    </row>
    <row r="3">
      <c r="A3" t="inlineStr">
        <is>
          <t>% отгона</t>
        </is>
      </c>
      <c r="B3" t="inlineStr">
        <is>
          <t>AET (эксперимент)</t>
        </is>
      </c>
      <c r="C3" t="inlineStr">
        <is>
          <t>T_полином (аппроксимация)</t>
        </is>
      </c>
      <c r="E3" t="inlineStr">
        <is>
          <t>Vср, % (Ветка 2)</t>
        </is>
      </c>
      <c r="F3" t="inlineStr">
        <is>
          <t>T_НД, °C (из НД, при 760)</t>
        </is>
      </c>
      <c r="G3" t="inlineStr">
        <is>
          <t>T_полином Ветки 2 (аппроксимация)</t>
        </is>
      </c>
    </row>
    <row r="4">
      <c r="A4">
        <f>'Расчёт'!A2</f>
        <v/>
      </c>
      <c r="B4">
        <f>'Расчёт'!E2</f>
        <v/>
      </c>
      <c r="C4">
        <f>'Расчёт'!C54</f>
        <v/>
      </c>
      <c r="E4">
        <f>'Расчёт'!F27</f>
        <v/>
      </c>
      <c r="F4">
        <f>'Расчёт'!A27</f>
        <v/>
      </c>
      <c r="G4">
        <f>'Расчёт'!C81</f>
        <v/>
      </c>
    </row>
    <row r="5">
      <c r="A5">
        <f>'Расчёт'!A3</f>
        <v/>
      </c>
      <c r="B5">
        <f>'Расчёт'!E3</f>
        <v/>
      </c>
      <c r="C5">
        <f>'Расчёт'!C55</f>
        <v/>
      </c>
      <c r="E5">
        <f>'Расчёт'!F28</f>
        <v/>
      </c>
      <c r="F5">
        <f>'Расчёт'!A28</f>
        <v/>
      </c>
      <c r="G5">
        <f>'Расчёт'!C82</f>
        <v/>
      </c>
    </row>
    <row r="6">
      <c r="A6">
        <f>'Расчёт'!A4</f>
        <v/>
      </c>
      <c r="B6">
        <f>'Расчёт'!E4</f>
        <v/>
      </c>
      <c r="C6">
        <f>'Расчёт'!C56</f>
        <v/>
      </c>
      <c r="E6">
        <f>'Расчёт'!F29</f>
        <v/>
      </c>
      <c r="F6">
        <f>'Расчёт'!A29</f>
        <v/>
      </c>
      <c r="G6">
        <f>'Расчёт'!C83</f>
        <v/>
      </c>
    </row>
    <row r="7">
      <c r="A7">
        <f>'Расчёт'!A5</f>
        <v/>
      </c>
      <c r="B7">
        <f>'Расчёт'!E5</f>
        <v/>
      </c>
      <c r="C7">
        <f>'Расчёт'!C57</f>
        <v/>
      </c>
      <c r="E7">
        <f>'Расчёт'!F30</f>
        <v/>
      </c>
      <c r="F7">
        <f>'Расчёт'!A30</f>
        <v/>
      </c>
      <c r="G7">
        <f>'Расчёт'!C84</f>
        <v/>
      </c>
    </row>
    <row r="8">
      <c r="A8">
        <f>'Расчёт'!A6</f>
        <v/>
      </c>
      <c r="B8">
        <f>'Расчёт'!E6</f>
        <v/>
      </c>
      <c r="C8">
        <f>'Расчёт'!C58</f>
        <v/>
      </c>
      <c r="E8">
        <f>'Расчёт'!F31</f>
        <v/>
      </c>
      <c r="F8">
        <f>'Расчёт'!A31</f>
        <v/>
      </c>
      <c r="G8">
        <f>'Расчёт'!C85</f>
        <v/>
      </c>
    </row>
    <row r="9">
      <c r="A9">
        <f>'Расчёт'!A7</f>
        <v/>
      </c>
      <c r="B9">
        <f>'Расчёт'!E7</f>
        <v/>
      </c>
      <c r="C9">
        <f>'Расчёт'!C59</f>
        <v/>
      </c>
      <c r="E9">
        <f>'Расчёт'!F32</f>
        <v/>
      </c>
      <c r="F9">
        <f>'Расчёт'!A32</f>
        <v/>
      </c>
      <c r="G9">
        <f>'Расчёт'!C86</f>
        <v/>
      </c>
    </row>
    <row r="10">
      <c r="A10">
        <f>'Расчёт'!A8</f>
        <v/>
      </c>
      <c r="B10">
        <f>'Расчёт'!E8</f>
        <v/>
      </c>
      <c r="C10">
        <f>'Расчёт'!C60</f>
        <v/>
      </c>
      <c r="E10">
        <f>'Расчёт'!F33</f>
        <v/>
      </c>
      <c r="F10">
        <f>'Расчёт'!A33</f>
        <v/>
      </c>
      <c r="G10">
        <f>'Расчёт'!C87</f>
        <v/>
      </c>
    </row>
    <row r="11">
      <c r="A11">
        <f>'Расчёт'!A9</f>
        <v/>
      </c>
      <c r="B11">
        <f>'Расчёт'!E9</f>
        <v/>
      </c>
      <c r="C11">
        <f>'Расчёт'!C61</f>
        <v/>
      </c>
      <c r="E11">
        <f>'Расчёт'!F34</f>
        <v/>
      </c>
      <c r="F11">
        <f>'Расчёт'!A34</f>
        <v/>
      </c>
      <c r="G11">
        <f>'Расчёт'!C88</f>
        <v/>
      </c>
    </row>
    <row r="12">
      <c r="A12">
        <f>'Расчёт'!A10</f>
        <v/>
      </c>
      <c r="B12">
        <f>'Расчёт'!E10</f>
        <v/>
      </c>
      <c r="C12">
        <f>'Расчёт'!C62</f>
        <v/>
      </c>
      <c r="E12">
        <f>'Расчёт'!F35</f>
        <v/>
      </c>
      <c r="F12">
        <f>'Расчёт'!A35</f>
        <v/>
      </c>
      <c r="G12">
        <f>'Расчёт'!C89</f>
        <v/>
      </c>
    </row>
    <row r="13">
      <c r="A13">
        <f>'Расчёт'!A11</f>
        <v/>
      </c>
      <c r="B13">
        <f>'Расчёт'!E11</f>
        <v/>
      </c>
      <c r="C13">
        <f>'Расчёт'!C63</f>
        <v/>
      </c>
      <c r="E13">
        <f>'Расчёт'!F36</f>
        <v/>
      </c>
      <c r="F13">
        <f>'Расчёт'!A36</f>
        <v/>
      </c>
      <c r="G13">
        <f>'Расчёт'!C90</f>
        <v/>
      </c>
    </row>
    <row r="14">
      <c r="A14">
        <f>'Расчёт'!A12</f>
        <v/>
      </c>
      <c r="B14">
        <f>'Расчёт'!E12</f>
        <v/>
      </c>
      <c r="C14">
        <f>'Расчёт'!C64</f>
        <v/>
      </c>
      <c r="E14">
        <f>'Расчёт'!F37</f>
        <v/>
      </c>
      <c r="F14">
        <f>'Расчёт'!A37</f>
        <v/>
      </c>
      <c r="G14">
        <f>'Расчёт'!C91</f>
        <v/>
      </c>
    </row>
    <row r="15">
      <c r="A15">
        <f>'Расчёт'!A13</f>
        <v/>
      </c>
      <c r="B15">
        <f>'Расчёт'!E13</f>
        <v/>
      </c>
      <c r="C15">
        <f>'Расчёт'!C65</f>
        <v/>
      </c>
      <c r="E15">
        <f>'Расчёт'!F38</f>
        <v/>
      </c>
      <c r="F15">
        <f>'Расчёт'!A38</f>
        <v/>
      </c>
      <c r="G15">
        <f>'Расчёт'!C92</f>
        <v/>
      </c>
    </row>
    <row r="16">
      <c r="A16">
        <f>'Расчёт'!A14</f>
        <v/>
      </c>
      <c r="B16">
        <f>'Расчёт'!E14</f>
        <v/>
      </c>
      <c r="C16">
        <f>'Расчёт'!C66</f>
        <v/>
      </c>
      <c r="E16">
        <f>'Расчёт'!F39</f>
        <v/>
      </c>
      <c r="F16">
        <f>'Расчёт'!A39</f>
        <v/>
      </c>
      <c r="G16">
        <f>'Расчёт'!C93</f>
        <v/>
      </c>
    </row>
    <row r="17">
      <c r="A17">
        <f>'Расчёт'!A15</f>
        <v/>
      </c>
      <c r="B17">
        <f>'Расчёт'!E15</f>
        <v/>
      </c>
      <c r="C17">
        <f>'Расчёт'!C67</f>
        <v/>
      </c>
      <c r="E17">
        <f>'Расчёт'!F40</f>
        <v/>
      </c>
      <c r="F17">
        <f>'Расчёт'!A40</f>
        <v/>
      </c>
      <c r="G17">
        <f>'Расчёт'!C94</f>
        <v/>
      </c>
    </row>
    <row r="18">
      <c r="A18">
        <f>'Расчёт'!A16</f>
        <v/>
      </c>
      <c r="B18">
        <f>'Расчёт'!E16</f>
        <v/>
      </c>
      <c r="C18">
        <f>'Расчёт'!C68</f>
        <v/>
      </c>
      <c r="E18">
        <f>'Расчёт'!F41</f>
        <v/>
      </c>
      <c r="F18">
        <f>'Расчёт'!A41</f>
        <v/>
      </c>
      <c r="G18">
        <f>'Расчёт'!C95</f>
        <v/>
      </c>
    </row>
    <row r="19">
      <c r="A19">
        <f>'Расчёт'!A17</f>
        <v/>
      </c>
      <c r="B19">
        <f>'Расчёт'!E17</f>
        <v/>
      </c>
      <c r="C19">
        <f>'Расчёт'!C69</f>
        <v/>
      </c>
      <c r="E19">
        <f>'Расчёт'!F42</f>
        <v/>
      </c>
      <c r="F19">
        <f>'Расчёт'!A42</f>
        <v/>
      </c>
      <c r="G19">
        <f>'Расчёт'!C96</f>
        <v/>
      </c>
    </row>
    <row r="20">
      <c r="A20">
        <f>'Расчёт'!A18</f>
        <v/>
      </c>
      <c r="B20">
        <f>'Расчёт'!E18</f>
        <v/>
      </c>
      <c r="C20">
        <f>'Расчёт'!C70</f>
        <v/>
      </c>
      <c r="E20">
        <f>'Расчёт'!F43</f>
        <v/>
      </c>
      <c r="F20">
        <f>'Расчёт'!A43</f>
        <v/>
      </c>
      <c r="G20">
        <f>'Расчёт'!C97</f>
        <v/>
      </c>
    </row>
    <row r="21">
      <c r="A21">
        <f>'Расчёт'!A19</f>
        <v/>
      </c>
      <c r="B21">
        <f>'Расчёт'!E19</f>
        <v/>
      </c>
      <c r="C21">
        <f>'Расчёт'!C71</f>
        <v/>
      </c>
      <c r="E21">
        <f>'Расчёт'!F44</f>
        <v/>
      </c>
      <c r="F21">
        <f>'Расчёт'!A44</f>
        <v/>
      </c>
      <c r="G21">
        <f>'Расчёт'!C98</f>
        <v/>
      </c>
    </row>
    <row r="22">
      <c r="A22">
        <f>'Расчёт'!A20</f>
        <v/>
      </c>
      <c r="B22">
        <f>'Расчёт'!E20</f>
        <v/>
      </c>
      <c r="C22">
        <f>'Расчёт'!C72</f>
        <v/>
      </c>
      <c r="E22">
        <f>'Расчёт'!F45</f>
        <v/>
      </c>
      <c r="F22">
        <f>'Расчёт'!A45</f>
        <v/>
      </c>
      <c r="G22">
        <f>'Расчёт'!C99</f>
        <v/>
      </c>
    </row>
    <row r="23">
      <c r="A23">
        <f>'Расчёт'!A21</f>
        <v/>
      </c>
      <c r="B23">
        <f>'Расчёт'!E21</f>
        <v/>
      </c>
      <c r="C23">
        <f>'Расчёт'!C73</f>
        <v/>
      </c>
      <c r="E23">
        <f>'Расчёт'!F46</f>
        <v/>
      </c>
      <c r="F23">
        <f>'Расчёт'!A46</f>
        <v/>
      </c>
      <c r="G23">
        <f>'Расчёт'!C100</f>
        <v/>
      </c>
    </row>
    <row r="24">
      <c r="A24">
        <f>'Расчёт'!A22</f>
        <v/>
      </c>
      <c r="B24">
        <f>'Расчёт'!E22</f>
        <v/>
      </c>
      <c r="C24">
        <f>'Расчёт'!C74</f>
        <v/>
      </c>
      <c r="E24">
        <f>'Расчёт'!F47</f>
        <v/>
      </c>
      <c r="F24">
        <f>'Расчёт'!A47</f>
        <v/>
      </c>
      <c r="G24">
        <f>'Расчёт'!C101</f>
        <v/>
      </c>
    </row>
    <row r="26">
      <c r="A26" s="3" t="inlineStr">
        <is>
          <t>R² (полином Ветки 1, из листа «Расчёт»):</t>
        </is>
      </c>
      <c r="B26">
        <f>'Расчёт'!B75</f>
        <v/>
      </c>
      <c r="E26" s="3" t="inlineStr">
        <is>
          <t>R² (полином Ветки 2, из листа «Расчёт»):</t>
        </is>
      </c>
      <c r="F26">
        <f>'Расчёт'!B102</f>
        <v/>
      </c>
    </row>
    <row r="27">
      <c r="A27" s="3" t="inlineStr">
        <is>
          <t>ВСПОМОГАТЕЛЬНАЯ ОБЛАСТЬ (Ветка 2): пары Vср → T_НД, собранные БЕЗ ПУСТОТ (для LINEST второй модели и второй диаграммы)</t>
        </is>
      </c>
    </row>
    <row r="28">
      <c r="A28" s="1" t="inlineStr">
        <is>
          <t>Vср, % (без пустот)</t>
        </is>
      </c>
      <c r="B28" s="1" t="inlineStr">
        <is>
          <t>T_НД, °C (без пустот)</t>
        </is>
      </c>
    </row>
    <row r="29">
      <c r="A29" s="12">
        <f>IFERROR(INDEX('Расчёт'!$F$27:$F$47,SMALL(IF(ISNUMBER('Расчёт'!$F$27:$F$47),ROW('Расчёт'!$F$27:$F$47)-ROW('Расчёт'!$F$27)+1),1)),"")</f>
        <v/>
      </c>
      <c r="B29" s="12">
        <f>IFERROR(INDEX('Расчёт'!$A$27:$A$47,SMALL(IF(ISNUMBER('Расчёт'!$F$27:$F$47),ROW('Расчёт'!$F$27:$F$47)-ROW('Расчёт'!$F$27)+1),1)),"")</f>
        <v/>
      </c>
    </row>
    <row r="30">
      <c r="A30" s="12">
        <f>IFERROR(INDEX('Расчёт'!$F$27:$F$47,SMALL(IF(ISNUMBER('Расчёт'!$F$27:$F$47),ROW('Расчёт'!$F$27:$F$47)-ROW('Расчёт'!$F$27)+1),2)),"")</f>
        <v/>
      </c>
      <c r="B30" s="12">
        <f>IFERROR(INDEX('Расчёт'!$A$27:$A$47,SMALL(IF(ISNUMBER('Расчёт'!$F$27:$F$47),ROW('Расчёт'!$F$27:$F$47)-ROW('Расчёт'!$F$27)+1),2)),"")</f>
        <v/>
      </c>
    </row>
    <row r="31">
      <c r="A31" s="12">
        <f>IFERROR(INDEX('Расчёт'!$F$27:$F$47,SMALL(IF(ISNUMBER('Расчёт'!$F$27:$F$47),ROW('Расчёт'!$F$27:$F$47)-ROW('Расчёт'!$F$27)+1),3)),"")</f>
        <v/>
      </c>
      <c r="B31" s="12">
        <f>IFERROR(INDEX('Расчёт'!$A$27:$A$47,SMALL(IF(ISNUMBER('Расчёт'!$F$27:$F$47),ROW('Расчёт'!$F$27:$F$47)-ROW('Расчёт'!$F$27)+1),3)),"")</f>
        <v/>
      </c>
    </row>
    <row r="32">
      <c r="A32" s="12">
        <f>IFERROR(INDEX('Расчёт'!$F$27:$F$47,SMALL(IF(ISNUMBER('Расчёт'!$F$27:$F$47),ROW('Расчёт'!$F$27:$F$47)-ROW('Расчёт'!$F$27)+1),4)),"")</f>
        <v/>
      </c>
      <c r="B32" s="12">
        <f>IFERROR(INDEX('Расчёт'!$A$27:$A$47,SMALL(IF(ISNUMBER('Расчёт'!$F$27:$F$47),ROW('Расчёт'!$F$27:$F$47)-ROW('Расчёт'!$F$27)+1),4)),"")</f>
        <v/>
      </c>
    </row>
    <row r="33">
      <c r="A33" s="12">
        <f>IFERROR(INDEX('Расчёт'!$F$27:$F$47,SMALL(IF(ISNUMBER('Расчёт'!$F$27:$F$47),ROW('Расчёт'!$F$27:$F$47)-ROW('Расчёт'!$F$27)+1),5)),"")</f>
        <v/>
      </c>
      <c r="B33" s="12">
        <f>IFERROR(INDEX('Расчёт'!$A$27:$A$47,SMALL(IF(ISNUMBER('Расчёт'!$F$27:$F$47),ROW('Расчёт'!$F$27:$F$47)-ROW('Расчёт'!$F$27)+1),5)),"")</f>
        <v/>
      </c>
    </row>
    <row r="34">
      <c r="A34" s="12">
        <f>IFERROR(INDEX('Расчёт'!$F$27:$F$47,SMALL(IF(ISNUMBER('Расчёт'!$F$27:$F$47),ROW('Расчёт'!$F$27:$F$47)-ROW('Расчёт'!$F$27)+1),6)),"")</f>
        <v/>
      </c>
      <c r="B34" s="12">
        <f>IFERROR(INDEX('Расчёт'!$A$27:$A$47,SMALL(IF(ISNUMBER('Расчёт'!$F$27:$F$47),ROW('Расчёт'!$F$27:$F$47)-ROW('Расчёт'!$F$27)+1),6)),"")</f>
        <v/>
      </c>
    </row>
    <row r="35">
      <c r="A35" s="12">
        <f>IFERROR(INDEX('Расчёт'!$F$27:$F$47,SMALL(IF(ISNUMBER('Расчёт'!$F$27:$F$47),ROW('Расчёт'!$F$27:$F$47)-ROW('Расчёт'!$F$27)+1),7)),"")</f>
        <v/>
      </c>
      <c r="B35" s="12">
        <f>IFERROR(INDEX('Расчёт'!$A$27:$A$47,SMALL(IF(ISNUMBER('Расчёт'!$F$27:$F$47),ROW('Расчёт'!$F$27:$F$47)-ROW('Расчёт'!$F$27)+1),7)),"")</f>
        <v/>
      </c>
    </row>
    <row r="36">
      <c r="A36" s="12">
        <f>IFERROR(INDEX('Расчёт'!$F$27:$F$47,SMALL(IF(ISNUMBER('Расчёт'!$F$27:$F$47),ROW('Расчёт'!$F$27:$F$47)-ROW('Расчёт'!$F$27)+1),8)),"")</f>
        <v/>
      </c>
      <c r="B36" s="12">
        <f>IFERROR(INDEX('Расчёт'!$A$27:$A$47,SMALL(IF(ISNUMBER('Расчёт'!$F$27:$F$47),ROW('Расчёт'!$F$27:$F$47)-ROW('Расчёт'!$F$27)+1),8)),"")</f>
        <v/>
      </c>
    </row>
    <row r="37">
      <c r="A37" s="12">
        <f>IFERROR(INDEX('Расчёт'!$F$27:$F$47,SMALL(IF(ISNUMBER('Расчёт'!$F$27:$F$47),ROW('Расчёт'!$F$27:$F$47)-ROW('Расчёт'!$F$27)+1),9)),"")</f>
        <v/>
      </c>
      <c r="B37" s="12">
        <f>IFERROR(INDEX('Расчёт'!$A$27:$A$47,SMALL(IF(ISNUMBER('Расчёт'!$F$27:$F$47),ROW('Расчёт'!$F$27:$F$47)-ROW('Расчёт'!$F$27)+1),9)),"")</f>
        <v/>
      </c>
    </row>
    <row r="38">
      <c r="A38" s="12">
        <f>IFERROR(INDEX('Расчёт'!$F$27:$F$47,SMALL(IF(ISNUMBER('Расчёт'!$F$27:$F$47),ROW('Расчёт'!$F$27:$F$47)-ROW('Расчёт'!$F$27)+1),10)),"")</f>
        <v/>
      </c>
      <c r="B38" s="12">
        <f>IFERROR(INDEX('Расчёт'!$A$27:$A$47,SMALL(IF(ISNUMBER('Расчёт'!$F$27:$F$47),ROW('Расчёт'!$F$27:$F$47)-ROW('Расчёт'!$F$27)+1),10)),"")</f>
        <v/>
      </c>
    </row>
    <row r="39">
      <c r="A39" s="12">
        <f>IFERROR(INDEX('Расчёт'!$F$27:$F$47,SMALL(IF(ISNUMBER('Расчёт'!$F$27:$F$47),ROW('Расчёт'!$F$27:$F$47)-ROW('Расчёт'!$F$27)+1),11)),"")</f>
        <v/>
      </c>
      <c r="B39" s="12">
        <f>IFERROR(INDEX('Расчёт'!$A$27:$A$47,SMALL(IF(ISNUMBER('Расчёт'!$F$27:$F$47),ROW('Расчёт'!$F$27:$F$47)-ROW('Расчёт'!$F$27)+1),11)),"")</f>
        <v/>
      </c>
    </row>
    <row r="40">
      <c r="A40" s="12">
        <f>IFERROR(INDEX('Расчёт'!$F$27:$F$47,SMALL(IF(ISNUMBER('Расчёт'!$F$27:$F$47),ROW('Расчёт'!$F$27:$F$47)-ROW('Расчёт'!$F$27)+1),12)),"")</f>
        <v/>
      </c>
      <c r="B40" s="12">
        <f>IFERROR(INDEX('Расчёт'!$A$27:$A$47,SMALL(IF(ISNUMBER('Расчёт'!$F$27:$F$47),ROW('Расчёт'!$F$27:$F$47)-ROW('Расчёт'!$F$27)+1),12)),"")</f>
        <v/>
      </c>
    </row>
    <row r="41">
      <c r="A41" s="12">
        <f>IFERROR(INDEX('Расчёт'!$F$27:$F$47,SMALL(IF(ISNUMBER('Расчёт'!$F$27:$F$47),ROW('Расчёт'!$F$27:$F$47)-ROW('Расчёт'!$F$27)+1),13)),"")</f>
        <v/>
      </c>
      <c r="B41" s="12">
        <f>IFERROR(INDEX('Расчёт'!$A$27:$A$47,SMALL(IF(ISNUMBER('Расчёт'!$F$27:$F$47),ROW('Расчёт'!$F$27:$F$47)-ROW('Расчёт'!$F$27)+1),13)),"")</f>
        <v/>
      </c>
    </row>
    <row r="42">
      <c r="A42" s="12">
        <f>IFERROR(INDEX('Расчёт'!$F$27:$F$47,SMALL(IF(ISNUMBER('Расчёт'!$F$27:$F$47),ROW('Расчёт'!$F$27:$F$47)-ROW('Расчёт'!$F$27)+1),14)),"")</f>
        <v/>
      </c>
      <c r="B42" s="12">
        <f>IFERROR(INDEX('Расчёт'!$A$27:$A$47,SMALL(IF(ISNUMBER('Расчёт'!$F$27:$F$47),ROW('Расчёт'!$F$27:$F$47)-ROW('Расчёт'!$F$27)+1),14)),"")</f>
        <v/>
      </c>
    </row>
    <row r="43">
      <c r="A43" s="12">
        <f>IFERROR(INDEX('Расчёт'!$F$27:$F$47,SMALL(IF(ISNUMBER('Расчёт'!$F$27:$F$47),ROW('Расчёт'!$F$27:$F$47)-ROW('Расчёт'!$F$27)+1),15)),"")</f>
        <v/>
      </c>
      <c r="B43" s="12">
        <f>IFERROR(INDEX('Расчёт'!$A$27:$A$47,SMALL(IF(ISNUMBER('Расчёт'!$F$27:$F$47),ROW('Расчёт'!$F$27:$F$47)-ROW('Расчёт'!$F$27)+1),15)),"")</f>
        <v/>
      </c>
    </row>
    <row r="44">
      <c r="A44" s="12">
        <f>IFERROR(INDEX('Расчёт'!$F$27:$F$47,SMALL(IF(ISNUMBER('Расчёт'!$F$27:$F$47),ROW('Расчёт'!$F$27:$F$47)-ROW('Расчёт'!$F$27)+1),16)),"")</f>
        <v/>
      </c>
      <c r="B44" s="12">
        <f>IFERROR(INDEX('Расчёт'!$A$27:$A$47,SMALL(IF(ISNUMBER('Расчёт'!$F$27:$F$47),ROW('Расчёт'!$F$27:$F$47)-ROW('Расчёт'!$F$27)+1),16)),"")</f>
        <v/>
      </c>
    </row>
    <row r="45">
      <c r="A45" s="12">
        <f>IFERROR(INDEX('Расчёт'!$F$27:$F$47,SMALL(IF(ISNUMBER('Расчёт'!$F$27:$F$47),ROW('Расчёт'!$F$27:$F$47)-ROW('Расчёт'!$F$27)+1),17)),"")</f>
        <v/>
      </c>
      <c r="B45" s="12">
        <f>IFERROR(INDEX('Расчёт'!$A$27:$A$47,SMALL(IF(ISNUMBER('Расчёт'!$F$27:$F$47),ROW('Расчёт'!$F$27:$F$47)-ROW('Расчёт'!$F$27)+1),17)),"")</f>
        <v/>
      </c>
    </row>
    <row r="46">
      <c r="A46" s="12">
        <f>IFERROR(INDEX('Расчёт'!$F$27:$F$47,SMALL(IF(ISNUMBER('Расчёт'!$F$27:$F$47),ROW('Расчёт'!$F$27:$F$47)-ROW('Расчёт'!$F$27)+1),18)),"")</f>
        <v/>
      </c>
      <c r="B46" s="12">
        <f>IFERROR(INDEX('Расчёт'!$A$27:$A$47,SMALL(IF(ISNUMBER('Расчёт'!$F$27:$F$47),ROW('Расчёт'!$F$27:$F$47)-ROW('Расчёт'!$F$27)+1),18)),"")</f>
        <v/>
      </c>
    </row>
    <row r="47">
      <c r="A47" s="12">
        <f>IFERROR(INDEX('Расчёт'!$F$27:$F$47,SMALL(IF(ISNUMBER('Расчёт'!$F$27:$F$47),ROW('Расчёт'!$F$27:$F$47)-ROW('Расчёт'!$F$27)+1),19)),"")</f>
        <v/>
      </c>
      <c r="B47" s="12">
        <f>IFERROR(INDEX('Расчёт'!$A$27:$A$47,SMALL(IF(ISNUMBER('Расчёт'!$F$27:$F$47),ROW('Расчёт'!$F$27:$F$47)-ROW('Расчёт'!$F$27)+1),19)),"")</f>
        <v/>
      </c>
    </row>
    <row r="48">
      <c r="A48" s="12">
        <f>IFERROR(INDEX('Расчёт'!$F$27:$F$47,SMALL(IF(ISNUMBER('Расчёт'!$F$27:$F$47),ROW('Расчёт'!$F$27:$F$47)-ROW('Расчёт'!$F$27)+1),20)),"")</f>
        <v/>
      </c>
      <c r="B48" s="12">
        <f>IFERROR(INDEX('Расчёт'!$A$27:$A$47,SMALL(IF(ISNUMBER('Расчёт'!$F$27:$F$47),ROW('Расчёт'!$F$27:$F$47)-ROW('Расчёт'!$F$27)+1),20)),"")</f>
        <v/>
      </c>
    </row>
    <row r="49">
      <c r="A49" s="12">
        <f>IFERROR(INDEX('Расчёт'!$F$27:$F$47,SMALL(IF(ISNUMBER('Расчёт'!$F$27:$F$47),ROW('Расчёт'!$F$27:$F$47)-ROW('Расчёт'!$F$27)+1),21)),"")</f>
        <v/>
      </c>
      <c r="B49" s="12">
        <f>IFERROR(INDEX('Расчёт'!$A$27:$A$47,SMALL(IF(ISNUMBER('Расчёт'!$F$27:$F$47),ROW('Расчёт'!$F$27:$F$47)-ROW('Расчёт'!$F$27)+1),21)),"")</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2026-10-07T05:46:23Z</dcterms:created>
  <dcterms:modified xmlns:dcterms="http://purl.org/dc/terms/" xmlns:xsi="http://www.w3.org/2001/XMLSchema-instance" xsi:type="dcterms:W3CDTF">2026-10-07T16:55:42Z</dcterms:modified>
</cp:coreProperties>
</file>